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ettings Data" sheetId="2" state="visible" r:id="rId2"/>
    <sheet name="Users Data" sheetId="3" state="visible" r:id="rId3"/>
    <sheet name="Admin Data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8000"/>
      <sz val="10"/>
    </font>
    <font>
      <name val="Segoe UI"/>
      <b val="1"/>
      <color rgb="001B365D"/>
      <sz val="16"/>
    </font>
    <font>
      <name val="Segoe UI"/>
      <b val="1"/>
      <sz val="10"/>
    </font>
    <font>
      <name val="Segoe UI"/>
      <b val="1"/>
      <sz val="11"/>
    </font>
    <font>
      <name val="Segoe UI"/>
      <b val="1"/>
      <color rgb="001B365D"/>
      <sz val="12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2" pivotButton="0" quotePrefix="0" xfId="0"/>
    <xf numFmtId="164" fontId="2" fillId="0" borderId="2" applyAlignment="1" pivotButton="0" quotePrefix="0" xfId="0">
      <alignment horizontal="center" vertical="center"/>
    </xf>
    <xf numFmtId="0" fontId="6" fillId="3" borderId="2" pivotButton="0" quotePrefix="0" xfId="0"/>
    <xf numFmtId="0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33" customWidth="1" min="4" max="4"/>
    <col width="50" customWidth="1" min="5" max="5"/>
    <col width="50" customWidth="1" min="6" max="6"/>
    <col width="50" customWidth="1" min="7" max="7"/>
    <col width="25" customWidth="1" min="8" max="8"/>
    <col width="50" customWidth="1" min="9" max="9"/>
    <col width="12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Design Ref (notes)</t>
        </is>
      </c>
      <c r="D1" s="1" t="inlineStr">
        <is>
          <t>Technique</t>
        </is>
      </c>
      <c r="E1" s="1" t="inlineStr">
        <is>
          <t>Description</t>
        </is>
      </c>
      <c r="F1" s="1" t="inlineStr">
        <is>
          <t>Input Data</t>
        </is>
      </c>
      <c r="G1" s="1" t="inlineStr">
        <is>
          <t>Expected Result</t>
        </is>
      </c>
      <c r="H1" s="1" t="inlineStr">
        <is>
          <t>Data Source</t>
        </is>
      </c>
      <c r="I1" s="1" t="inlineStr">
        <is>
          <t>Automated Test</t>
        </is>
      </c>
      <c r="J1" s="1" t="inlineStr">
        <is>
          <t>Status</t>
        </is>
      </c>
    </row>
    <row r="2" ht="20" customHeight="1">
      <c r="A2" s="2" t="inlineStr">
        <is>
          <t>SET-STR1</t>
        </is>
      </c>
      <c r="B2" s="3" t="inlineStr">
        <is>
          <t>Profile &amp; Settings</t>
        </is>
      </c>
      <c r="C2" s="3" t="inlineStr">
        <is>
          <t>notes/settings_test_design.md</t>
        </is>
      </c>
      <c r="D2" s="3" t="inlineStr">
        <is>
          <t>Structural / Baseline</t>
        </is>
      </c>
      <c r="E2" s="3" t="inlineStr">
        <is>
          <t>Settings page opens, heading is Settings, pre-populates username</t>
        </is>
      </c>
      <c r="F2" s="3" t="inlineStr">
        <is>
          <t>Logged-in user visits /settings</t>
        </is>
      </c>
      <c r="G2" s="3" t="inlineStr">
        <is>
          <t>Heading Settings, name input contains username</t>
        </is>
      </c>
      <c r="H2" s="3" t="inlineStr">
        <is>
          <t>-</t>
        </is>
      </c>
      <c r="I2" s="3" t="inlineStr">
        <is>
          <t>SettingsTests.test_settings_page_opens</t>
        </is>
      </c>
      <c r="J2" s="4" t="inlineStr">
        <is>
          <t>Pass</t>
        </is>
      </c>
    </row>
    <row r="3" ht="20" customHeight="1">
      <c r="A3" s="2" t="inlineStr">
        <is>
          <t>SET-STR2</t>
        </is>
      </c>
      <c r="B3" s="3" t="inlineStr">
        <is>
          <t>Profile &amp; Settings</t>
        </is>
      </c>
      <c r="C3" s="3" t="inlineStr">
        <is>
          <t>notes/settings_test_design.md</t>
        </is>
      </c>
      <c r="D3" s="3" t="inlineStr">
        <is>
          <t>Structural / Persistence</t>
        </is>
      </c>
      <c r="E3" s="3" t="inlineStr">
        <is>
          <t>Profile fields affiliation and country persist on page reload</t>
        </is>
      </c>
      <c r="F3" s="3" t="inlineStr">
        <is>
          <t>affiliation='Independent Security Researchers', country='US'</t>
        </is>
      </c>
      <c r="G3" s="3" t="inlineStr">
        <is>
          <t>Values persist in form after page reload</t>
        </is>
      </c>
      <c r="H3" s="3" t="inlineStr">
        <is>
          <t>-</t>
        </is>
      </c>
      <c r="I3" s="3" t="inlineStr">
        <is>
          <t>SettingsTests.test_profile_persistence_on_reload</t>
        </is>
      </c>
      <c r="J3" s="4" t="inlineStr">
        <is>
          <t>Pass</t>
        </is>
      </c>
    </row>
    <row r="4" ht="20" customHeight="1">
      <c r="A4" s="2" t="inlineStr">
        <is>
          <t>SET-EC1</t>
        </is>
      </c>
      <c r="B4" s="3" t="inlineStr">
        <is>
          <t>Profile &amp; Settings</t>
        </is>
      </c>
      <c r="C4" s="3" t="inlineStr">
        <is>
          <t>notes/settings_test_design.md</t>
        </is>
      </c>
      <c r="D4" s="3" t="inlineStr">
        <is>
          <t>Equivalence Class Partitioning</t>
        </is>
      </c>
      <c r="E4" s="3" t="inlineStr">
        <is>
          <t>Change user name to unique valid name</t>
        </is>
      </c>
      <c r="F4" s="3" t="inlineStr">
        <is>
          <t>name='user_{uid}'</t>
        </is>
      </c>
      <c r="G4" s="3" t="inlineStr">
        <is>
          <t>Your profile has been updated</t>
        </is>
      </c>
      <c r="H4" s="3" t="inlineStr">
        <is>
          <t>data/settings_data.csv</t>
        </is>
      </c>
      <c r="I4" s="3" t="inlineStr">
        <is>
          <t>SettingsTests.test_settings_data_cases_01</t>
        </is>
      </c>
      <c r="J4" s="4" t="inlineStr">
        <is>
          <t>Pass</t>
        </is>
      </c>
    </row>
    <row r="5" ht="20" customHeight="1">
      <c r="A5" s="2" t="inlineStr">
        <is>
          <t>SET-EC3</t>
        </is>
      </c>
      <c r="B5" s="3" t="inlineStr">
        <is>
          <t>Profile &amp; Settings</t>
        </is>
      </c>
      <c r="C5" s="3" t="inlineStr">
        <is>
          <t>notes/settings_test_design.md</t>
        </is>
      </c>
      <c r="D5" s="3" t="inlineStr">
        <is>
          <t>Equivalence Class Partitioning</t>
        </is>
      </c>
      <c r="E5" s="3" t="inlineStr">
        <is>
          <t>Change user name to existing name (admin)</t>
        </is>
      </c>
      <c r="F5" s="3" t="inlineStr">
        <is>
          <t>name='admin'</t>
        </is>
      </c>
      <c r="G5" s="3" t="inlineStr">
        <is>
          <t>User name has already been taken</t>
        </is>
      </c>
      <c r="H5" s="3" t="inlineStr">
        <is>
          <t>data/settings_data.csv</t>
        </is>
      </c>
      <c r="I5" s="3" t="inlineStr">
        <is>
          <t>SettingsTests.test_settings_data_cases_02</t>
        </is>
      </c>
      <c r="J5" s="4" t="inlineStr">
        <is>
          <t>Pass</t>
        </is>
      </c>
    </row>
    <row r="6" ht="20" customHeight="1">
      <c r="A6" s="2" t="inlineStr">
        <is>
          <t>SET-EC4</t>
        </is>
      </c>
      <c r="B6" s="3" t="inlineStr">
        <is>
          <t>Profile &amp; Settings</t>
        </is>
      </c>
      <c r="C6" s="3" t="inlineStr">
        <is>
          <t>notes/settings_test_design.md</t>
        </is>
      </c>
      <c r="D6" s="3" t="inlineStr">
        <is>
          <t>Equivalence Class Partitioning</t>
        </is>
      </c>
      <c r="E6" s="3" t="inlineStr">
        <is>
          <t>Change email with correct current password confirmation</t>
        </is>
      </c>
      <c r="F6" s="3" t="inlineStr">
        <is>
          <t>email='new_{uid}@test.com', confirm='Pass@123'</t>
        </is>
      </c>
      <c r="G6" s="3" t="inlineStr">
        <is>
          <t>Your profile has been updated</t>
        </is>
      </c>
      <c r="H6" s="3" t="inlineStr">
        <is>
          <t>data/settings_data.csv</t>
        </is>
      </c>
      <c r="I6" s="3" t="inlineStr">
        <is>
          <t>SettingsTests.test_settings_data_cases_03</t>
        </is>
      </c>
      <c r="J6" s="4" t="inlineStr">
        <is>
          <t>Pass</t>
        </is>
      </c>
    </row>
    <row r="7" ht="20" customHeight="1">
      <c r="A7" s="2" t="inlineStr">
        <is>
          <t>SET-EC5</t>
        </is>
      </c>
      <c r="B7" s="3" t="inlineStr">
        <is>
          <t>Profile &amp; Settings</t>
        </is>
      </c>
      <c r="C7" s="3" t="inlineStr">
        <is>
          <t>notes/settings_test_design.md</t>
        </is>
      </c>
      <c r="D7" s="3" t="inlineStr">
        <is>
          <t>Equivalence Class Partitioning</t>
        </is>
      </c>
      <c r="E7" s="3" t="inlineStr">
        <is>
          <t>Change email to existing email (admin@test.com)</t>
        </is>
      </c>
      <c r="F7" s="3" t="inlineStr">
        <is>
          <t>email='admin@test.com', confirm='Pass@123'</t>
        </is>
      </c>
      <c r="G7" s="3" t="inlineStr">
        <is>
          <t>Email address has already been used</t>
        </is>
      </c>
      <c r="H7" s="3" t="inlineStr">
        <is>
          <t>data/settings_data.csv</t>
        </is>
      </c>
      <c r="I7" s="3" t="inlineStr">
        <is>
          <t>SettingsTests.test_settings_data_cases_04</t>
        </is>
      </c>
      <c r="J7" s="4" t="inlineStr">
        <is>
          <t>Pass</t>
        </is>
      </c>
    </row>
    <row r="8" ht="20" customHeight="1">
      <c r="A8" s="2" t="inlineStr">
        <is>
          <t>SET-EC6</t>
        </is>
      </c>
      <c r="B8" s="3" t="inlineStr">
        <is>
          <t>Profile &amp; Settings</t>
        </is>
      </c>
      <c r="C8" s="3" t="inlineStr">
        <is>
          <t>notes/settings_test_design.md</t>
        </is>
      </c>
      <c r="D8" s="3" t="inlineStr">
        <is>
          <t>Boundary Value Analysis</t>
        </is>
      </c>
      <c r="E8" s="3" t="inlineStr">
        <is>
          <t>Change email without current password confirmation</t>
        </is>
      </c>
      <c r="F8" s="3" t="inlineStr">
        <is>
          <t>email='new_{uid}@test.com', confirm=''</t>
        </is>
      </c>
      <c r="G8" s="3" t="inlineStr">
        <is>
          <t>Please confirm your current password</t>
        </is>
      </c>
      <c r="H8" s="3" t="inlineStr">
        <is>
          <t>data/settings_data.csv</t>
        </is>
      </c>
      <c r="I8" s="3" t="inlineStr">
        <is>
          <t>SettingsTests.test_settings_data_cases_05</t>
        </is>
      </c>
      <c r="J8" s="4" t="inlineStr">
        <is>
          <t>Pass</t>
        </is>
      </c>
    </row>
    <row r="9" ht="20" customHeight="1">
      <c r="A9" s="2" t="inlineStr">
        <is>
          <t>SET-EC7</t>
        </is>
      </c>
      <c r="B9" s="3" t="inlineStr">
        <is>
          <t>Profile &amp; Settings</t>
        </is>
      </c>
      <c r="C9" s="3" t="inlineStr">
        <is>
          <t>notes/settings_test_design.md</t>
        </is>
      </c>
      <c r="D9" s="3" t="inlineStr">
        <is>
          <t>Equivalence Class Partitioning</t>
        </is>
      </c>
      <c r="E9" s="3" t="inlineStr">
        <is>
          <t>Change password with correct current password</t>
        </is>
      </c>
      <c r="F9" s="3" t="inlineStr">
        <is>
          <t>confirm='Pass@123', password='NewPass@456'</t>
        </is>
      </c>
      <c r="G9" s="3" t="inlineStr">
        <is>
          <t>Your profile has been updated</t>
        </is>
      </c>
      <c r="H9" s="3" t="inlineStr">
        <is>
          <t>data/settings_data.csv</t>
        </is>
      </c>
      <c r="I9" s="3" t="inlineStr">
        <is>
          <t>SettingsTests.test_settings_data_cases_06</t>
        </is>
      </c>
      <c r="J9" s="4" t="inlineStr">
        <is>
          <t>Pass</t>
        </is>
      </c>
    </row>
    <row r="10" ht="20" customHeight="1">
      <c r="A10" s="2" t="inlineStr">
        <is>
          <t>SET-EC8</t>
        </is>
      </c>
      <c r="B10" s="3" t="inlineStr">
        <is>
          <t>Profile &amp; Settings</t>
        </is>
      </c>
      <c r="C10" s="3" t="inlineStr">
        <is>
          <t>notes/settings_test_design.md</t>
        </is>
      </c>
      <c r="D10" s="3" t="inlineStr">
        <is>
          <t>Equivalence Class Partitioning</t>
        </is>
      </c>
      <c r="E10" s="3" t="inlineStr">
        <is>
          <t>Change password with incorrect current password</t>
        </is>
      </c>
      <c r="F10" s="3" t="inlineStr">
        <is>
          <t>confirm='Wrong@999', password='NewPass@456'</t>
        </is>
      </c>
      <c r="G10" s="3" t="inlineStr">
        <is>
          <t>Your previous password is incorrect</t>
        </is>
      </c>
      <c r="H10" s="3" t="inlineStr">
        <is>
          <t>data/settings_data.csv</t>
        </is>
      </c>
      <c r="I10" s="3" t="inlineStr">
        <is>
          <t>SettingsTests.test_settings_data_cases_07</t>
        </is>
      </c>
      <c r="J10" s="4" t="inlineStr">
        <is>
          <t>Pass</t>
        </is>
      </c>
    </row>
    <row r="11" ht="20" customHeight="1">
      <c r="A11" s="2" t="inlineStr">
        <is>
          <t>SET-EC9</t>
        </is>
      </c>
      <c r="B11" s="3" t="inlineStr">
        <is>
          <t>Profile &amp; Settings</t>
        </is>
      </c>
      <c r="C11" s="3" t="inlineStr">
        <is>
          <t>notes/settings_test_design.md</t>
        </is>
      </c>
      <c r="D11" s="3" t="inlineStr">
        <is>
          <t>Boundary Value Analysis</t>
        </is>
      </c>
      <c r="E11" s="3" t="inlineStr">
        <is>
          <t>Change password without current password confirmation</t>
        </is>
      </c>
      <c r="F11" s="3" t="inlineStr">
        <is>
          <t>confirm='', password='NewPass@456'</t>
        </is>
      </c>
      <c r="G11" s="3" t="inlineStr">
        <is>
          <t>Please confirm your current password</t>
        </is>
      </c>
      <c r="H11" s="3" t="inlineStr">
        <is>
          <t>data/settings_data.csv</t>
        </is>
      </c>
      <c r="I11" s="3" t="inlineStr">
        <is>
          <t>SettingsTests.test_settings_data_cases_08</t>
        </is>
      </c>
      <c r="J11" s="4" t="inlineStr">
        <is>
          <t>Pass</t>
        </is>
      </c>
    </row>
    <row r="12" ht="20" customHeight="1">
      <c r="A12" s="2" t="inlineStr">
        <is>
          <t>SET-EC10</t>
        </is>
      </c>
      <c r="B12" s="3" t="inlineStr">
        <is>
          <t>Profile &amp; Settings</t>
        </is>
      </c>
      <c r="C12" s="3" t="inlineStr">
        <is>
          <t>notes/settings_test_design.md</t>
        </is>
      </c>
      <c r="D12" s="3" t="inlineStr">
        <is>
          <t>Equivalence Class Partitioning</t>
        </is>
      </c>
      <c r="E12" s="3" t="inlineStr">
        <is>
          <t>Valid HTTPS website URL</t>
        </is>
      </c>
      <c r="F12" s="3" t="inlineStr">
        <is>
          <t>website='https://ctfd.io'</t>
        </is>
      </c>
      <c r="G12" s="3" t="inlineStr">
        <is>
          <t>Your profile has been updated</t>
        </is>
      </c>
      <c r="H12" s="3" t="inlineStr">
        <is>
          <t>data/settings_data.csv</t>
        </is>
      </c>
      <c r="I12" s="3" t="inlineStr">
        <is>
          <t>SettingsTests.test_settings_data_cases_09</t>
        </is>
      </c>
      <c r="J12" s="4" t="inlineStr">
        <is>
          <t>Pass</t>
        </is>
      </c>
    </row>
    <row r="13" ht="20" customHeight="1">
      <c r="A13" s="2" t="inlineStr">
        <is>
          <t>SET-EC11</t>
        </is>
      </c>
      <c r="B13" s="3" t="inlineStr">
        <is>
          <t>Profile &amp; Settings</t>
        </is>
      </c>
      <c r="C13" s="3" t="inlineStr">
        <is>
          <t>notes/settings_test_design.md</t>
        </is>
      </c>
      <c r="D13" s="3" t="inlineStr">
        <is>
          <t>Equivalence Class Partitioning</t>
        </is>
      </c>
      <c r="E13" s="3" t="inlineStr">
        <is>
          <t>Valid HTTP website URL</t>
        </is>
      </c>
      <c r="F13" s="3" t="inlineStr">
        <is>
          <t>website='http://example.com'</t>
        </is>
      </c>
      <c r="G13" s="3" t="inlineStr">
        <is>
          <t>Your profile has been updated</t>
        </is>
      </c>
      <c r="H13" s="3" t="inlineStr">
        <is>
          <t>data/settings_data.csv</t>
        </is>
      </c>
      <c r="I13" s="3" t="inlineStr">
        <is>
          <t>SettingsTests.test_settings_data_cases_10</t>
        </is>
      </c>
      <c r="J13" s="4" t="inlineStr">
        <is>
          <t>Pass</t>
        </is>
      </c>
    </row>
    <row r="14" ht="20" customHeight="1">
      <c r="A14" s="2" t="inlineStr">
        <is>
          <t>SET-EC12</t>
        </is>
      </c>
      <c r="B14" s="3" t="inlineStr">
        <is>
          <t>Profile &amp; Settings</t>
        </is>
      </c>
      <c r="C14" s="3" t="inlineStr">
        <is>
          <t>notes/settings_test_design.md</t>
        </is>
      </c>
      <c r="D14" s="3" t="inlineStr">
        <is>
          <t>Boundary Value Analysis</t>
        </is>
      </c>
      <c r="E14" s="3" t="inlineStr">
        <is>
          <t>Website URL missing protocol scheme</t>
        </is>
      </c>
      <c r="F14" s="3" t="inlineStr">
        <is>
          <t>website='example.com'</t>
        </is>
      </c>
      <c r="G14" s="3" t="inlineStr">
        <is>
          <t>Websites must be a proper URL / validation rejection</t>
        </is>
      </c>
      <c r="H14" s="3" t="inlineStr">
        <is>
          <t>data/settings_data.csv</t>
        </is>
      </c>
      <c r="I14" s="3" t="inlineStr">
        <is>
          <t>SettingsTests.test_settings_data_cases_11</t>
        </is>
      </c>
      <c r="J14" s="4" t="inlineStr">
        <is>
          <t>Pass</t>
        </is>
      </c>
    </row>
    <row r="15" ht="20" customHeight="1">
      <c r="A15" s="2" t="inlineStr">
        <is>
          <t>SET-SYN1</t>
        </is>
      </c>
      <c r="B15" s="3" t="inlineStr">
        <is>
          <t>Profile &amp; Settings</t>
        </is>
      </c>
      <c r="C15" s="3" t="inlineStr">
        <is>
          <t>notes/settings_test_design.md</t>
        </is>
      </c>
      <c r="D15" s="3" t="inlineStr">
        <is>
          <t>Syntax Testing</t>
        </is>
      </c>
      <c r="E15" s="3" t="inlineStr">
        <is>
          <t>Invalid URI protocol scheme (ftp://)</t>
        </is>
      </c>
      <c r="F15" s="3" t="inlineStr">
        <is>
          <t>website='ftp://ftp.example.com'</t>
        </is>
      </c>
      <c r="G15" s="3" t="inlineStr">
        <is>
          <t>Websites must be a proper URL / validation error</t>
        </is>
      </c>
      <c r="H15" s="3" t="inlineStr">
        <is>
          <t>data/settings_data.csv</t>
        </is>
      </c>
      <c r="I15" s="3" t="inlineStr">
        <is>
          <t>SettingsTests.test_settings_data_cases_12</t>
        </is>
      </c>
      <c r="J15" s="4" t="inlineStr">
        <is>
          <t>Pass</t>
        </is>
      </c>
    </row>
    <row r="16" ht="20" customHeight="1">
      <c r="A16" s="2" t="inlineStr">
        <is>
          <t>SET-PW1</t>
        </is>
      </c>
      <c r="B16" s="3" t="inlineStr">
        <is>
          <t>Profile &amp; Settings</t>
        </is>
      </c>
      <c r="C16" s="3" t="inlineStr">
        <is>
          <t>notes/settings_test_design.md</t>
        </is>
      </c>
      <c r="D16" s="3" t="inlineStr">
        <is>
          <t>Pairwise Testing</t>
        </is>
      </c>
      <c r="E16" s="3" t="inlineStr">
        <is>
          <t>Simultaneous combination of affiliation, website, and country</t>
        </is>
      </c>
      <c r="F16" s="3" t="inlineStr">
        <is>
          <t>affiliation='Security Lab', website='https://lab.org', country='US'</t>
        </is>
      </c>
      <c r="G16" s="3" t="inlineStr">
        <is>
          <t>Your profile has been updated</t>
        </is>
      </c>
      <c r="H16" s="3" t="inlineStr">
        <is>
          <t>data/settings_data.csv</t>
        </is>
      </c>
      <c r="I16" s="3" t="inlineStr">
        <is>
          <t>SettingsTests.test_settings_data_cases_13</t>
        </is>
      </c>
      <c r="J16" s="4" t="inlineStr">
        <is>
          <t>Pass</t>
        </is>
      </c>
    </row>
    <row r="17" ht="20" customHeight="1">
      <c r="A17" s="2" t="inlineStr">
        <is>
          <t>USR-STR1</t>
        </is>
      </c>
      <c r="B17" s="3" t="inlineStr">
        <is>
          <t>Users Directory &amp; Public Profile</t>
        </is>
      </c>
      <c r="C17" s="3" t="inlineStr">
        <is>
          <t>notes/users_test_design.md</t>
        </is>
      </c>
      <c r="D17" s="3" t="inlineStr">
        <is>
          <t>Structural / Baseline</t>
        </is>
      </c>
      <c r="E17" s="3" t="inlineStr">
        <is>
          <t>Users directory renders table columns and search form</t>
        </is>
      </c>
      <c r="F17" s="3" t="inlineStr">
        <is>
          <t>Visit /users</t>
        </is>
      </c>
      <c r="G17" s="3" t="inlineStr">
        <is>
          <t>User, Website, Affiliation, Country columns and search inputs</t>
        </is>
      </c>
      <c r="H17" s="3" t="inlineStr">
        <is>
          <t>-</t>
        </is>
      </c>
      <c r="I17" s="3" t="inlineStr">
        <is>
          <t>UsersTests.test_users_directory_page_structure</t>
        </is>
      </c>
      <c r="J17" s="4" t="inlineStr">
        <is>
          <t>Pass</t>
        </is>
      </c>
    </row>
    <row r="18" ht="20" customHeight="1">
      <c r="A18" s="2" t="inlineStr">
        <is>
          <t>USR-UC1</t>
        </is>
      </c>
      <c r="B18" s="3" t="inlineStr">
        <is>
          <t>Users Directory &amp; Public Profile</t>
        </is>
      </c>
      <c r="C18" s="3" t="inlineStr">
        <is>
          <t>notes/users_test_design.md</t>
        </is>
      </c>
      <c r="D18" s="3" t="inlineStr">
        <is>
          <t>Use Case / Scenario</t>
        </is>
      </c>
      <c r="E18" s="3" t="inlineStr">
        <is>
          <t>Navigation from directory to public profile</t>
        </is>
      </c>
      <c r="F18" s="3" t="inlineStr">
        <is>
          <t>Search user -&gt; click user link</t>
        </is>
      </c>
      <c r="G18" s="3" t="inlineStr">
        <is>
          <t>Navigates to /users/&lt;id&gt;, heading matches username</t>
        </is>
      </c>
      <c r="H18" s="3" t="inlineStr">
        <is>
          <t>-</t>
        </is>
      </c>
      <c r="I18" s="3" t="inlineStr">
        <is>
          <t>UsersTests.test_directory_to_profile_navigation</t>
        </is>
      </c>
      <c r="J18" s="4" t="inlineStr">
        <is>
          <t>Pass</t>
        </is>
      </c>
    </row>
    <row r="19" ht="20" customHeight="1">
      <c r="A19" s="2" t="inlineStr">
        <is>
          <t>USR-UC2</t>
        </is>
      </c>
      <c r="B19" s="3" t="inlineStr">
        <is>
          <t>Users Directory &amp; Public Profile</t>
        </is>
      </c>
      <c r="C19" s="3" t="inlineStr">
        <is>
          <t>notes/users_test_design.md</t>
        </is>
      </c>
      <c r="D19" s="3" t="inlineStr">
        <is>
          <t>Use Case / Scenario</t>
        </is>
      </c>
      <c r="E19" s="3" t="inlineStr">
        <is>
          <t>Challenge solve reflection lifecycle on public profile</t>
        </is>
      </c>
      <c r="F19" s="3" t="inlineStr">
        <is>
          <t>Submit flag{test123} -&gt; view /users/&lt;id&gt;</t>
        </is>
      </c>
      <c r="G19" s="3" t="inlineStr">
        <is>
          <t>Shows 100 points, Solves table with Test Challenge</t>
        </is>
      </c>
      <c r="H19" s="3" t="inlineStr">
        <is>
          <t>-</t>
        </is>
      </c>
      <c r="I19" s="3" t="inlineStr">
        <is>
          <t>UsersTests.test_user_profile_solve_reflection</t>
        </is>
      </c>
      <c r="J19" s="4" t="inlineStr">
        <is>
          <t>Pass</t>
        </is>
      </c>
    </row>
    <row r="20" ht="20" customHeight="1">
      <c r="A20" s="2" t="inlineStr">
        <is>
          <t>USR-STR2</t>
        </is>
      </c>
      <c r="B20" s="3" t="inlineStr">
        <is>
          <t>Users Directory &amp; Public Profile</t>
        </is>
      </c>
      <c r="C20" s="3" t="inlineStr">
        <is>
          <t>notes/users_test_design.md</t>
        </is>
      </c>
      <c r="D20" s="3" t="inlineStr">
        <is>
          <t>Structural / Integration</t>
        </is>
      </c>
      <c r="E20" s="3" t="inlineStr">
        <is>
          <t>Profile reflects affiliation, country flag, and website</t>
        </is>
      </c>
      <c r="F20" s="3" t="inlineStr">
        <is>
          <t>Set profile metadata in /settings -&gt; visit /users/&lt;id&gt;</t>
        </is>
      </c>
      <c r="G20" s="3" t="inlineStr">
        <is>
          <t>Affiliation badge, country, and website link visible</t>
        </is>
      </c>
      <c r="H20" s="3" t="inlineStr">
        <is>
          <t>-</t>
        </is>
      </c>
      <c r="I20" s="3" t="inlineStr">
        <is>
          <t>UsersTests.test_user_profile_metadata_display</t>
        </is>
      </c>
      <c r="J20" s="4" t="inlineStr">
        <is>
          <t>Pass</t>
        </is>
      </c>
    </row>
    <row r="21" ht="20" customHeight="1">
      <c r="A21" s="2" t="inlineStr">
        <is>
          <t>USR-EC1</t>
        </is>
      </c>
      <c r="B21" s="3" t="inlineStr">
        <is>
          <t>Users Directory &amp; Public Profile</t>
        </is>
      </c>
      <c r="C21" s="3" t="inlineStr">
        <is>
          <t>notes/users_test_design.md</t>
        </is>
      </c>
      <c r="D21" s="3" t="inlineStr">
        <is>
          <t>Equivalence Class Partitioning</t>
        </is>
      </c>
      <c r="E21" s="3" t="inlineStr">
        <is>
          <t>Directory displays registered user accounts</t>
        </is>
      </c>
      <c r="F21" s="3" t="inlineStr">
        <is>
          <t>Visit /users</t>
        </is>
      </c>
      <c r="G21" s="3" t="inlineStr">
        <is>
          <t>Users table contains registered user rows</t>
        </is>
      </c>
      <c r="H21" s="3" t="inlineStr">
        <is>
          <t>data/users_data.csv</t>
        </is>
      </c>
      <c r="I21" s="3" t="inlineStr">
        <is>
          <t>UsersTests.test_users_data_driven_1</t>
        </is>
      </c>
      <c r="J21" s="4" t="inlineStr">
        <is>
          <t>Pass</t>
        </is>
      </c>
    </row>
    <row r="22" ht="20" customHeight="1">
      <c r="A22" s="2" t="inlineStr">
        <is>
          <t>USR-EC3</t>
        </is>
      </c>
      <c r="B22" s="3" t="inlineStr">
        <is>
          <t>Users Directory &amp; Public Profile</t>
        </is>
      </c>
      <c r="C22" s="3" t="inlineStr">
        <is>
          <t>notes/users_test_design.md</t>
        </is>
      </c>
      <c r="D22" s="3" t="inlineStr">
        <is>
          <t>Equivalence Class Partitioning</t>
        </is>
      </c>
      <c r="E22" s="3" t="inlineStr">
        <is>
          <t>Non-existent user profile returns 404</t>
        </is>
      </c>
      <c r="F22" s="3" t="inlineStr">
        <is>
          <t>Visit /users/999999</t>
        </is>
      </c>
      <c r="G22" s="3" t="inlineStr">
        <is>
          <t>404 Not Found error page</t>
        </is>
      </c>
      <c r="H22" s="3" t="inlineStr">
        <is>
          <t>data/users_data.csv</t>
        </is>
      </c>
      <c r="I22" s="3" t="inlineStr">
        <is>
          <t>UsersTests.test_users_data_driven_2</t>
        </is>
      </c>
      <c r="J22" s="4" t="inlineStr">
        <is>
          <t>Pass</t>
        </is>
      </c>
    </row>
    <row r="23" ht="20" customHeight="1">
      <c r="A23" s="2" t="inlineStr">
        <is>
          <t>USR-EC4</t>
        </is>
      </c>
      <c r="B23" s="3" t="inlineStr">
        <is>
          <t>Users Directory &amp; Public Profile</t>
        </is>
      </c>
      <c r="C23" s="3" t="inlineStr">
        <is>
          <t>notes/users_test_design.md</t>
        </is>
      </c>
      <c r="D23" s="3" t="inlineStr">
        <is>
          <t>Equivalence Class Partitioning</t>
        </is>
      </c>
      <c r="E23" s="3" t="inlineStr">
        <is>
          <t>User search matches registered user</t>
        </is>
      </c>
      <c r="F23" s="3" t="inlineStr">
        <is>
          <t>field=name, q={user_name}</t>
        </is>
      </c>
      <c r="G23" s="3" t="inlineStr">
        <is>
          <t>User row returned in results table</t>
        </is>
      </c>
      <c r="H23" s="3" t="inlineStr">
        <is>
          <t>data/users_data.csv</t>
        </is>
      </c>
      <c r="I23" s="3" t="inlineStr">
        <is>
          <t>UsersTests.test_users_data_driven_3</t>
        </is>
      </c>
      <c r="J23" s="4" t="inlineStr">
        <is>
          <t>Pass</t>
        </is>
      </c>
    </row>
    <row r="24" ht="20" customHeight="1">
      <c r="A24" s="2" t="inlineStr">
        <is>
          <t>USR-EC5</t>
        </is>
      </c>
      <c r="B24" s="3" t="inlineStr">
        <is>
          <t>Users Directory &amp; Public Profile</t>
        </is>
      </c>
      <c r="C24" s="3" t="inlineStr">
        <is>
          <t>notes/users_test_design.md</t>
        </is>
      </c>
      <c r="D24" s="3" t="inlineStr">
        <is>
          <t>Equivalence Class Partitioning</t>
        </is>
      </c>
      <c r="E24" s="3" t="inlineStr">
        <is>
          <t>User search matches no users</t>
        </is>
      </c>
      <c r="F24" s="3" t="inlineStr">
        <is>
          <t>field=name, q=nonexistent_user_xyz_999</t>
        </is>
      </c>
      <c r="G24" s="3" t="inlineStr">
        <is>
          <t>0 matching rows returned</t>
        </is>
      </c>
      <c r="H24" s="3" t="inlineStr">
        <is>
          <t>data/users_data.csv</t>
        </is>
      </c>
      <c r="I24" s="3" t="inlineStr">
        <is>
          <t>UsersTests.test_users_data_driven_4</t>
        </is>
      </c>
      <c r="J24" s="4" t="inlineStr">
        <is>
          <t>Pass</t>
        </is>
      </c>
    </row>
    <row r="25" ht="20" customHeight="1">
      <c r="A25" s="2" t="inlineStr">
        <is>
          <t>USR-BVA1</t>
        </is>
      </c>
      <c r="B25" s="3" t="inlineStr">
        <is>
          <t>Users Directory &amp; Public Profile</t>
        </is>
      </c>
      <c r="C25" s="3" t="inlineStr">
        <is>
          <t>notes/users_test_design.md</t>
        </is>
      </c>
      <c r="D25" s="3" t="inlineStr">
        <is>
          <t>Boundary Value Analysis</t>
        </is>
      </c>
      <c r="E25" s="3" t="inlineStr">
        <is>
          <t>Min score boundary: 0-point user listed in users directory</t>
        </is>
      </c>
      <c r="F25" s="3" t="inlineStr">
        <is>
          <t>Fresh user with 0 points</t>
        </is>
      </c>
      <c r="G25" s="3" t="inlineStr">
        <is>
          <t>User appears in /users table (unlike scoreboard)</t>
        </is>
      </c>
      <c r="H25" s="3" t="inlineStr">
        <is>
          <t>data/users_data.csv</t>
        </is>
      </c>
      <c r="I25" s="3" t="inlineStr">
        <is>
          <t>UsersTests.test_users_data_driven_5</t>
        </is>
      </c>
      <c r="J25" s="4" t="inlineStr">
        <is>
          <t>Pass</t>
        </is>
      </c>
    </row>
    <row r="26" ht="20" customHeight="1">
      <c r="A26" s="2" t="inlineStr">
        <is>
          <t>USR-BVA3</t>
        </is>
      </c>
      <c r="B26" s="3" t="inlineStr">
        <is>
          <t>Users Directory &amp; Public Profile</t>
        </is>
      </c>
      <c r="C26" s="3" t="inlineStr">
        <is>
          <t>notes/users_test_design.md</t>
        </is>
      </c>
      <c r="D26" s="3" t="inlineStr">
        <is>
          <t>Boundary Value Analysis</t>
        </is>
      </c>
      <c r="E26" s="3" t="inlineStr">
        <is>
          <t>Pagination min boundary: first page (page 1)</t>
        </is>
      </c>
      <c r="F26" s="3" t="inlineStr">
        <is>
          <t>/users?page=1</t>
        </is>
      </c>
      <c r="G26" s="3" t="inlineStr">
        <is>
          <t>First page loads with users table</t>
        </is>
      </c>
      <c r="H26" s="3" t="inlineStr">
        <is>
          <t>data/users_data.csv</t>
        </is>
      </c>
      <c r="I26" s="3" t="inlineStr">
        <is>
          <t>UsersTests.test_users_data_driven_6</t>
        </is>
      </c>
      <c r="J26" s="4" t="inlineStr">
        <is>
          <t>Pass</t>
        </is>
      </c>
    </row>
    <row r="27" ht="20" customHeight="1">
      <c r="A27" s="2" t="inlineStr">
        <is>
          <t>USR-BVA4</t>
        </is>
      </c>
      <c r="B27" s="3" t="inlineStr">
        <is>
          <t>Users Directory &amp; Public Profile</t>
        </is>
      </c>
      <c r="C27" s="3" t="inlineStr">
        <is>
          <t>notes/users_test_design.md</t>
        </is>
      </c>
      <c r="D27" s="3" t="inlineStr">
        <is>
          <t>Boundary Value Analysis</t>
        </is>
      </c>
      <c r="E27" s="3" t="inlineStr">
        <is>
          <t>Pagination out-of-bounds boundary: page 9999</t>
        </is>
      </c>
      <c r="F27" s="3" t="inlineStr">
        <is>
          <t>/users?page=9999</t>
        </is>
      </c>
      <c r="G27" s="3" t="inlineStr">
        <is>
          <t>Empty table, 0 rows, no crash</t>
        </is>
      </c>
      <c r="H27" s="3" t="inlineStr">
        <is>
          <t>data/users_data.csv</t>
        </is>
      </c>
      <c r="I27" s="3" t="inlineStr">
        <is>
          <t>UsersTests.test_users_data_driven_7</t>
        </is>
      </c>
      <c r="J27" s="4" t="inlineStr">
        <is>
          <t>Pass</t>
        </is>
      </c>
    </row>
    <row r="28" ht="20" customHeight="1">
      <c r="A28" s="2" t="inlineStr">
        <is>
          <t>USR-EG1</t>
        </is>
      </c>
      <c r="B28" s="3" t="inlineStr">
        <is>
          <t>Users Directory &amp; Public Profile</t>
        </is>
      </c>
      <c r="C28" s="3" t="inlineStr">
        <is>
          <t>notes/users_test_design.md</t>
        </is>
      </c>
      <c r="D28" s="3" t="inlineStr">
        <is>
          <t>Error Guessing</t>
        </is>
      </c>
      <c r="E28" s="3" t="inlineStr">
        <is>
          <t>Extremely large integer ID for profile</t>
        </is>
      </c>
      <c r="F28" s="3" t="inlineStr">
        <is>
          <t>/users/99999999</t>
        </is>
      </c>
      <c r="G28" s="3" t="inlineStr">
        <is>
          <t>404 Not Found without 500 server error</t>
        </is>
      </c>
      <c r="H28" s="3" t="inlineStr">
        <is>
          <t>data/users_data.csv</t>
        </is>
      </c>
      <c r="I28" s="3" t="inlineStr">
        <is>
          <t>UsersTests.test_users_data_driven_8</t>
        </is>
      </c>
      <c r="J28" s="4" t="inlineStr">
        <is>
          <t>Pass</t>
        </is>
      </c>
    </row>
    <row r="29" ht="20" customHeight="1">
      <c r="A29" s="2" t="inlineStr">
        <is>
          <t>USR-EG2</t>
        </is>
      </c>
      <c r="B29" s="3" t="inlineStr">
        <is>
          <t>Users Directory &amp; Public Profile</t>
        </is>
      </c>
      <c r="C29" s="3" t="inlineStr">
        <is>
          <t>notes/users_test_design.md</t>
        </is>
      </c>
      <c r="D29" s="3" t="inlineStr">
        <is>
          <t>Error Guessing</t>
        </is>
      </c>
      <c r="E29" s="3" t="inlineStr">
        <is>
          <t>Search query containing HTML script tags</t>
        </is>
      </c>
      <c r="F29" s="3" t="inlineStr">
        <is>
          <t>field=name, q=&lt;script&gt;</t>
        </is>
      </c>
      <c r="G29" s="3" t="inlineStr">
        <is>
          <t>Safely escaped, no execution, 0 results</t>
        </is>
      </c>
      <c r="H29" s="3" t="inlineStr">
        <is>
          <t>data/users_data.csv</t>
        </is>
      </c>
      <c r="I29" s="3" t="inlineStr">
        <is>
          <t>UsersTests.test_users_data_driven_9</t>
        </is>
      </c>
      <c r="J29" s="4" t="inlineStr">
        <is>
          <t>Pass</t>
        </is>
      </c>
    </row>
    <row r="30" ht="20" customHeight="1">
      <c r="A30" s="2" t="inlineStr">
        <is>
          <t>ADM-STR1</t>
        </is>
      </c>
      <c r="B30" s="3" t="inlineStr">
        <is>
          <t>Admin Panel</t>
        </is>
      </c>
      <c r="C30" s="3" t="inlineStr">
        <is>
          <t>notes/admin_test_design.md</t>
        </is>
      </c>
      <c r="D30" s="3" t="inlineStr">
        <is>
          <t>Structural / Baseline</t>
        </is>
      </c>
      <c r="E30" s="3" t="inlineStr">
        <is>
          <t>Admin dashboard loads with Pages, Users, Challenges sub-menus</t>
        </is>
      </c>
      <c r="F30" s="3" t="inlineStr">
        <is>
          <t>Login as admin -&gt; /admin</t>
        </is>
      </c>
      <c r="G30" s="3" t="inlineStr">
        <is>
          <t>Title Admin Panel, navigation sub-menus present</t>
        </is>
      </c>
      <c r="H30" s="3" t="inlineStr">
        <is>
          <t>-</t>
        </is>
      </c>
      <c r="I30" s="3" t="inlineStr">
        <is>
          <t>AdminTests.test_admin_dashboard_navigation</t>
        </is>
      </c>
      <c r="J30" s="4" t="inlineStr">
        <is>
          <t>Pass</t>
        </is>
      </c>
    </row>
    <row r="31" ht="20" customHeight="1">
      <c r="A31" s="2" t="inlineStr">
        <is>
          <t>ADM-UC1</t>
        </is>
      </c>
      <c r="B31" s="3" t="inlineStr">
        <is>
          <t>Admin Panel</t>
        </is>
      </c>
      <c r="C31" s="3" t="inlineStr">
        <is>
          <t>notes/admin_test_design.md</t>
        </is>
      </c>
      <c r="D31" s="3" t="inlineStr">
        <is>
          <t>Use Case / Scenario</t>
        </is>
      </c>
      <c r="E31" s="3" t="inlineStr">
        <is>
          <t>Custom page creation, navbar integration, and public rendering</t>
        </is>
      </c>
      <c r="F31" s="3" t="inlineStr">
        <is>
          <t>Create page rules -&gt; visit /rules</t>
        </is>
      </c>
      <c r="G31" s="3" t="inlineStr">
        <is>
          <t>Listed in admin pages, visible in nav, content rendered</t>
        </is>
      </c>
      <c r="H31" s="3" t="inlineStr">
        <is>
          <t>-</t>
        </is>
      </c>
      <c r="I31" s="3" t="inlineStr">
        <is>
          <t>AdminTests.test_custom_page_publication_lifecycle</t>
        </is>
      </c>
      <c r="J31" s="4" t="inlineStr">
        <is>
          <t>Pass</t>
        </is>
      </c>
    </row>
    <row r="32" ht="20" customHeight="1">
      <c r="A32" s="2" t="inlineStr">
        <is>
          <t>ADM-ST1</t>
        </is>
      </c>
      <c r="B32" s="3" t="inlineStr">
        <is>
          <t>Admin Panel</t>
        </is>
      </c>
      <c r="C32" s="3" t="inlineStr">
        <is>
          <t>notes/admin_test_design.md</t>
        </is>
      </c>
      <c r="D32" s="3" t="inlineStr">
        <is>
          <t>State Transition Testing</t>
        </is>
      </c>
      <c r="E32" s="3" t="inlineStr">
        <is>
          <t>User ban and unban lifecycle: Active -&gt; Banned (403) -&gt; Active</t>
        </is>
      </c>
      <c r="F32" s="3" t="inlineStr">
        <is>
          <t>Ban user in admin -&gt; access /challenges -&gt; Unban</t>
        </is>
      </c>
      <c r="G32" s="3" t="inlineStr">
        <is>
          <t>403 Forbidden while banned; normal access restored on unban</t>
        </is>
      </c>
      <c r="H32" s="3" t="inlineStr">
        <is>
          <t>-</t>
        </is>
      </c>
      <c r="I32" s="3" t="inlineStr">
        <is>
          <t>AdminTests.test_user_ban_and_unban_lifecycle</t>
        </is>
      </c>
      <c r="J32" s="4" t="inlineStr">
        <is>
          <t>Pass</t>
        </is>
      </c>
    </row>
    <row r="33" ht="20" customHeight="1">
      <c r="A33" s="2" t="inlineStr">
        <is>
          <t>ADM-EC1</t>
        </is>
      </c>
      <c r="B33" s="3" t="inlineStr">
        <is>
          <t>Admin Panel</t>
        </is>
      </c>
      <c r="C33" s="3" t="inlineStr">
        <is>
          <t>notes/admin_test_design.md</t>
        </is>
      </c>
      <c r="D33" s="3" t="inlineStr">
        <is>
          <t>Cause-Effect Graphing</t>
        </is>
      </c>
      <c r="E33" s="3" t="inlineStr">
        <is>
          <t>Unauthenticated access to /admin redirected to login</t>
        </is>
      </c>
      <c r="F33" s="3" t="inlineStr">
        <is>
          <t>Unauthenticated visit /admin</t>
        </is>
      </c>
      <c r="G33" s="3" t="inlineStr">
        <is>
          <t>Redirected to /login</t>
        </is>
      </c>
      <c r="H33" s="3" t="inlineStr">
        <is>
          <t>data/admin_data.csv</t>
        </is>
      </c>
      <c r="I33" s="3" t="inlineStr">
        <is>
          <t>AdminTests.test_admin_data_driven_1</t>
        </is>
      </c>
      <c r="J33" s="4" t="inlineStr">
        <is>
          <t>Pass</t>
        </is>
      </c>
    </row>
    <row r="34" ht="20" customHeight="1">
      <c r="A34" s="2" t="inlineStr">
        <is>
          <t>ADM-EC2</t>
        </is>
      </c>
      <c r="B34" s="3" t="inlineStr">
        <is>
          <t>Admin Panel</t>
        </is>
      </c>
      <c r="C34" s="3" t="inlineStr">
        <is>
          <t>notes/admin_test_design.md</t>
        </is>
      </c>
      <c r="D34" s="3" t="inlineStr">
        <is>
          <t>Cause-Effect Graphing</t>
        </is>
      </c>
      <c r="E34" s="3" t="inlineStr">
        <is>
          <t>Regular authenticated user access to /admin redirected to login</t>
        </is>
      </c>
      <c r="F34" s="3" t="inlineStr">
        <is>
          <t>Regular user visit /admin</t>
        </is>
      </c>
      <c r="G34" s="3" t="inlineStr">
        <is>
          <t>Redirected to /login</t>
        </is>
      </c>
      <c r="H34" s="3" t="inlineStr">
        <is>
          <t>data/admin_data.csv</t>
        </is>
      </c>
      <c r="I34" s="3" t="inlineStr">
        <is>
          <t>AdminTests.test_admin_data_driven_2</t>
        </is>
      </c>
      <c r="J34" s="4" t="inlineStr">
        <is>
          <t>Pass</t>
        </is>
      </c>
    </row>
    <row r="35" ht="20" customHeight="1">
      <c r="A35" s="2" t="inlineStr">
        <is>
          <t>ADM-EC3</t>
        </is>
      </c>
      <c r="B35" s="3" t="inlineStr">
        <is>
          <t>Admin Panel</t>
        </is>
      </c>
      <c r="C35" s="3" t="inlineStr">
        <is>
          <t>notes/admin_test_design.md</t>
        </is>
      </c>
      <c r="D35" s="3" t="inlineStr">
        <is>
          <t>Cause-Effect Graphing</t>
        </is>
      </c>
      <c r="E35" s="3" t="inlineStr">
        <is>
          <t>Admin authenticated access to /admin loads dashboard</t>
        </is>
      </c>
      <c r="F35" s="3" t="inlineStr">
        <is>
          <t>Admin visit /admin</t>
        </is>
      </c>
      <c r="G35" s="3" t="inlineStr">
        <is>
          <t>Admin Panel dashboard loaded</t>
        </is>
      </c>
      <c r="H35" s="3" t="inlineStr">
        <is>
          <t>data/admin_data.csv</t>
        </is>
      </c>
      <c r="I35" s="3" t="inlineStr">
        <is>
          <t>AdminTests.test_admin_data_driven_3</t>
        </is>
      </c>
      <c r="J35" s="4" t="inlineStr">
        <is>
          <t>Pass</t>
        </is>
      </c>
    </row>
    <row r="36" ht="20" customHeight="1">
      <c r="A36" s="2" t="inlineStr">
        <is>
          <t>ADM-EC4</t>
        </is>
      </c>
      <c r="B36" s="3" t="inlineStr">
        <is>
          <t>Admin Panel</t>
        </is>
      </c>
      <c r="C36" s="3" t="inlineStr">
        <is>
          <t>notes/admin_test_design.md</t>
        </is>
      </c>
      <c r="D36" s="3" t="inlineStr">
        <is>
          <t>Decision Table</t>
        </is>
      </c>
      <c r="E36" s="3" t="inlineStr">
        <is>
          <t>Published custom page is rendered publicly and displayed in navbar</t>
        </is>
      </c>
      <c r="F36" s="3" t="inlineStr">
        <is>
          <t>draft=False, hidden=False, auth_required=False</t>
        </is>
      </c>
      <c r="G36" s="3" t="inlineStr">
        <is>
          <t>Content rendered, link present in navbar</t>
        </is>
      </c>
      <c r="H36" s="3" t="inlineStr">
        <is>
          <t>data/admin_data.csv</t>
        </is>
      </c>
      <c r="I36" s="3" t="inlineStr">
        <is>
          <t>AdminTests.test_admin_data_driven_4</t>
        </is>
      </c>
      <c r="J36" s="4" t="inlineStr">
        <is>
          <t>Pass</t>
        </is>
      </c>
    </row>
    <row r="37" ht="20" customHeight="1">
      <c r="A37" s="2" t="inlineStr">
        <is>
          <t>ADM-EC5</t>
        </is>
      </c>
      <c r="B37" s="3" t="inlineStr">
        <is>
          <t>Admin Panel</t>
        </is>
      </c>
      <c r="C37" s="3" t="inlineStr">
        <is>
          <t>notes/admin_test_design.md</t>
        </is>
      </c>
      <c r="D37" s="3" t="inlineStr">
        <is>
          <t>Decision Table</t>
        </is>
      </c>
      <c r="E37" s="3" t="inlineStr">
        <is>
          <t>Draft custom page returns 404 on public route</t>
        </is>
      </c>
      <c r="F37" s="3" t="inlineStr">
        <is>
          <t>draft=True, hidden=False, auth_required=False</t>
        </is>
      </c>
      <c r="G37" s="3" t="inlineStr">
        <is>
          <t>404 Not Found</t>
        </is>
      </c>
      <c r="H37" s="3" t="inlineStr">
        <is>
          <t>data/admin_data.csv</t>
        </is>
      </c>
      <c r="I37" s="3" t="inlineStr">
        <is>
          <t>AdminTests.test_admin_data_driven_5</t>
        </is>
      </c>
      <c r="J37" s="4" t="inlineStr">
        <is>
          <t>Pass</t>
        </is>
      </c>
    </row>
    <row r="38" ht="20" customHeight="1">
      <c r="A38" s="2" t="inlineStr">
        <is>
          <t>ADM-EC6</t>
        </is>
      </c>
      <c r="B38" s="3" t="inlineStr">
        <is>
          <t>Admin Panel</t>
        </is>
      </c>
      <c r="C38" s="3" t="inlineStr">
        <is>
          <t>notes/admin_test_design.md</t>
        </is>
      </c>
      <c r="D38" s="3" t="inlineStr">
        <is>
          <t>Decision Table</t>
        </is>
      </c>
      <c r="E38" s="3" t="inlineStr">
        <is>
          <t>Auth-required custom page redirects unauthenticated visitors</t>
        </is>
      </c>
      <c r="F38" s="3" t="inlineStr">
        <is>
          <t>draft=False, hidden=False, auth_required=True</t>
        </is>
      </c>
      <c r="G38" s="3" t="inlineStr">
        <is>
          <t>Redirected to /login</t>
        </is>
      </c>
      <c r="H38" s="3" t="inlineStr">
        <is>
          <t>data/admin_data.csv</t>
        </is>
      </c>
      <c r="I38" s="3" t="inlineStr">
        <is>
          <t>AdminTests.test_admin_data_driven_6</t>
        </is>
      </c>
      <c r="J38" s="4" t="inlineStr">
        <is>
          <t>Pass</t>
        </is>
      </c>
    </row>
    <row r="39" ht="20" customHeight="1">
      <c r="A39" s="2" t="inlineStr">
        <is>
          <t>ADM-BVA1</t>
        </is>
      </c>
      <c r="B39" s="3" t="inlineStr">
        <is>
          <t>Admin Panel</t>
        </is>
      </c>
      <c r="C39" s="3" t="inlineStr">
        <is>
          <t>notes/admin_test_design.md</t>
        </is>
      </c>
      <c r="D39" s="3" t="inlineStr">
        <is>
          <t>Boundary Value Analysis</t>
        </is>
      </c>
      <c r="E39" s="3" t="inlineStr">
        <is>
          <t>Min route length boundary (short route)</t>
        </is>
      </c>
      <c r="F39" s="3" t="inlineStr">
        <is>
          <t>Route: r{uid}</t>
        </is>
      </c>
      <c r="G39" s="3" t="inlineStr">
        <is>
          <t>Page created and published at /r{uid}</t>
        </is>
      </c>
      <c r="H39" s="3" t="inlineStr">
        <is>
          <t>data/admin_data.csv</t>
        </is>
      </c>
      <c r="I39" s="3" t="inlineStr">
        <is>
          <t>AdminTests.test_admin_data_driven_7</t>
        </is>
      </c>
      <c r="J39" s="4" t="inlineStr">
        <is>
          <t>Pass</t>
        </is>
      </c>
    </row>
    <row r="40" ht="20" customHeight="1">
      <c r="A40" s="2" t="inlineStr">
        <is>
          <t>ADM-BVA2</t>
        </is>
      </c>
      <c r="B40" s="3" t="inlineStr">
        <is>
          <t>Admin Panel</t>
        </is>
      </c>
      <c r="C40" s="3" t="inlineStr">
        <is>
          <t>notes/admin_test_design.md</t>
        </is>
      </c>
      <c r="D40" s="3" t="inlineStr">
        <is>
          <t>Boundary Value Analysis</t>
        </is>
      </c>
      <c r="E40" s="3" t="inlineStr">
        <is>
          <t>Long hyphenated route format boundary</t>
        </is>
      </c>
      <c r="F40" s="3" t="inlineStr">
        <is>
          <t>Route: long-rules-guide-2026-{uid}</t>
        </is>
      </c>
      <c r="G40" s="3" t="inlineStr">
        <is>
          <t>Page created and published at /long-rules-guide-2026-{uid}</t>
        </is>
      </c>
      <c r="H40" s="3" t="inlineStr">
        <is>
          <t>data/admin_data.csv</t>
        </is>
      </c>
      <c r="I40" s="3" t="inlineStr">
        <is>
          <t>AdminTests.test_admin_data_driven_8</t>
        </is>
      </c>
      <c r="J40" s="4" t="inlineStr">
        <is>
          <t>Pass</t>
        </is>
      </c>
    </row>
    <row r="41" ht="20" customHeight="1">
      <c r="A41" s="2" t="inlineStr">
        <is>
          <t>ADM-EG1</t>
        </is>
      </c>
      <c r="B41" s="3" t="inlineStr">
        <is>
          <t>Admin Panel</t>
        </is>
      </c>
      <c r="C41" s="3" t="inlineStr">
        <is>
          <t>notes/admin_test_design.md</t>
        </is>
      </c>
      <c r="D41" s="3" t="inlineStr">
        <is>
          <t>Error Guessing</t>
        </is>
      </c>
      <c r="E41" s="3" t="inlineStr">
        <is>
          <t>Non-existent admin route returns 404 gracefully</t>
        </is>
      </c>
      <c r="F41" s="3" t="inlineStr">
        <is>
          <t>/admin/nonexistent_xyz_999</t>
        </is>
      </c>
      <c r="G41" s="3" t="inlineStr">
        <is>
          <t>404 Not Found error page</t>
        </is>
      </c>
      <c r="H41" s="3" t="inlineStr">
        <is>
          <t>data/admin_data.csv</t>
        </is>
      </c>
      <c r="I41" s="3" t="inlineStr">
        <is>
          <t>AdminTests.test_admin_data_driven_9</t>
        </is>
      </c>
      <c r="J4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14" customWidth="1" min="6" max="6"/>
    <col width="15" customWidth="1" min="7" max="7"/>
    <col width="24" customWidth="1" min="8" max="8"/>
    <col width="12" customWidth="1" min="9" max="9"/>
    <col width="12" customWidth="1" min="10" max="10"/>
    <col width="50" customWidth="1" min="11" max="11"/>
  </cols>
  <sheetData>
    <row r="1" ht="22" customHeight="1">
      <c r="A1" s="5" t="inlineStr">
        <is>
          <t>test_id</t>
        </is>
      </c>
      <c r="B1" s="5" t="inlineStr">
        <is>
          <t>action</t>
        </is>
      </c>
      <c r="C1" s="5" t="inlineStr">
        <is>
          <t>name</t>
        </is>
      </c>
      <c r="D1" s="5" t="inlineStr">
        <is>
          <t>email</t>
        </is>
      </c>
      <c r="E1" s="5" t="inlineStr">
        <is>
          <t>confirm</t>
        </is>
      </c>
      <c r="F1" s="5" t="inlineStr">
        <is>
          <t>password</t>
        </is>
      </c>
      <c r="G1" s="5" t="inlineStr">
        <is>
          <t>affiliation</t>
        </is>
      </c>
      <c r="H1" s="5" t="inlineStr">
        <is>
          <t>website</t>
        </is>
      </c>
      <c r="I1" s="5" t="inlineStr">
        <is>
          <t>country</t>
        </is>
      </c>
      <c r="J1" s="5" t="inlineStr">
        <is>
          <t>result</t>
        </is>
      </c>
      <c r="K1" s="5" t="inlineStr">
        <is>
          <t>messages</t>
        </is>
      </c>
    </row>
    <row r="2" ht="19" customHeight="1">
      <c r="A2" s="3" t="inlineStr">
        <is>
          <t>SET-EC1</t>
        </is>
      </c>
      <c r="B2" s="3" t="inlineStr">
        <is>
          <t>name</t>
        </is>
      </c>
      <c r="C2" s="3" t="inlineStr">
        <is>
          <t>user_{uid}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>
        <is>
          <t>success</t>
        </is>
      </c>
      <c r="K2" s="3" t="inlineStr">
        <is>
          <t>Your profile has been updated</t>
        </is>
      </c>
    </row>
    <row r="3" ht="19" customHeight="1">
      <c r="A3" s="3" t="inlineStr">
        <is>
          <t>SET-EC3</t>
        </is>
      </c>
      <c r="B3" s="3" t="inlineStr">
        <is>
          <t>name</t>
        </is>
      </c>
      <c r="C3" s="3" t="inlineStr">
        <is>
          <t>admin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rejected</t>
        </is>
      </c>
      <c r="K3" s="3" t="inlineStr">
        <is>
          <t>User name has already been taken</t>
        </is>
      </c>
    </row>
    <row r="4" ht="19" customHeight="1">
      <c r="A4" s="3" t="inlineStr">
        <is>
          <t>SET-EC4</t>
        </is>
      </c>
      <c r="B4" s="3" t="inlineStr">
        <is>
          <t>email</t>
        </is>
      </c>
      <c r="C4" s="3" t="inlineStr"/>
      <c r="D4" s="3" t="inlineStr">
        <is>
          <t>new_{uid}@test.com</t>
        </is>
      </c>
      <c r="E4" s="3" t="inlineStr">
        <is>
          <t>Pass@123</t>
        </is>
      </c>
      <c r="F4" s="3" t="inlineStr"/>
      <c r="G4" s="3" t="inlineStr"/>
      <c r="H4" s="3" t="inlineStr"/>
      <c r="I4" s="3" t="inlineStr"/>
      <c r="J4" s="3" t="inlineStr">
        <is>
          <t>success</t>
        </is>
      </c>
      <c r="K4" s="3" t="inlineStr">
        <is>
          <t>Your profile has been updated</t>
        </is>
      </c>
    </row>
    <row r="5" ht="19" customHeight="1">
      <c r="A5" s="3" t="inlineStr">
        <is>
          <t>SET-EC5</t>
        </is>
      </c>
      <c r="B5" s="3" t="inlineStr">
        <is>
          <t>email</t>
        </is>
      </c>
      <c r="C5" s="3" t="inlineStr"/>
      <c r="D5" s="3" t="inlineStr">
        <is>
          <t>admin@test.com</t>
        </is>
      </c>
      <c r="E5" s="3" t="inlineStr">
        <is>
          <t>Pass@123</t>
        </is>
      </c>
      <c r="F5" s="3" t="inlineStr"/>
      <c r="G5" s="3" t="inlineStr"/>
      <c r="H5" s="3" t="inlineStr"/>
      <c r="I5" s="3" t="inlineStr"/>
      <c r="J5" s="3" t="inlineStr">
        <is>
          <t>rejected</t>
        </is>
      </c>
      <c r="K5" s="3" t="inlineStr">
        <is>
          <t>Email address has already been used</t>
        </is>
      </c>
    </row>
    <row r="6" ht="19" customHeight="1">
      <c r="A6" s="3" t="inlineStr">
        <is>
          <t>SET-EC6</t>
        </is>
      </c>
      <c r="B6" s="3" t="inlineStr">
        <is>
          <t>email</t>
        </is>
      </c>
      <c r="C6" s="3" t="inlineStr"/>
      <c r="D6" s="3" t="inlineStr">
        <is>
          <t>new_{uid}@test.com</t>
        </is>
      </c>
      <c r="E6" s="3" t="inlineStr"/>
      <c r="F6" s="3" t="inlineStr"/>
      <c r="G6" s="3" t="inlineStr"/>
      <c r="H6" s="3" t="inlineStr"/>
      <c r="I6" s="3" t="inlineStr"/>
      <c r="J6" s="3" t="inlineStr">
        <is>
          <t>rejected</t>
        </is>
      </c>
      <c r="K6" s="3" t="inlineStr">
        <is>
          <t>Please confirm your current password</t>
        </is>
      </c>
    </row>
    <row r="7" ht="19" customHeight="1">
      <c r="A7" s="3" t="inlineStr">
        <is>
          <t>SET-EC7</t>
        </is>
      </c>
      <c r="B7" s="3" t="inlineStr">
        <is>
          <t>password</t>
        </is>
      </c>
      <c r="C7" s="3" t="inlineStr"/>
      <c r="D7" s="3" t="inlineStr"/>
      <c r="E7" s="3" t="inlineStr">
        <is>
          <t>Pass@123</t>
        </is>
      </c>
      <c r="F7" s="3" t="inlineStr">
        <is>
          <t>NewPass@456</t>
        </is>
      </c>
      <c r="G7" s="3" t="inlineStr"/>
      <c r="H7" s="3" t="inlineStr"/>
      <c r="I7" s="3" t="inlineStr"/>
      <c r="J7" s="3" t="inlineStr">
        <is>
          <t>success</t>
        </is>
      </c>
      <c r="K7" s="3" t="inlineStr">
        <is>
          <t>Your profile has been updated</t>
        </is>
      </c>
    </row>
    <row r="8" ht="19" customHeight="1">
      <c r="A8" s="3" t="inlineStr">
        <is>
          <t>SET-EC8</t>
        </is>
      </c>
      <c r="B8" s="3" t="inlineStr">
        <is>
          <t>password</t>
        </is>
      </c>
      <c r="C8" s="3" t="inlineStr"/>
      <c r="D8" s="3" t="inlineStr"/>
      <c r="E8" s="3" t="inlineStr">
        <is>
          <t>Wrong@999</t>
        </is>
      </c>
      <c r="F8" s="3" t="inlineStr">
        <is>
          <t>NewPass@456</t>
        </is>
      </c>
      <c r="G8" s="3" t="inlineStr"/>
      <c r="H8" s="3" t="inlineStr"/>
      <c r="I8" s="3" t="inlineStr"/>
      <c r="J8" s="3" t="inlineStr">
        <is>
          <t>rejected</t>
        </is>
      </c>
      <c r="K8" s="3" t="inlineStr">
        <is>
          <t>Your previous password is incorrect</t>
        </is>
      </c>
    </row>
    <row r="9" ht="19" customHeight="1">
      <c r="A9" s="3" t="inlineStr">
        <is>
          <t>SET-EC9</t>
        </is>
      </c>
      <c r="B9" s="3" t="inlineStr">
        <is>
          <t>password</t>
        </is>
      </c>
      <c r="C9" s="3" t="inlineStr"/>
      <c r="D9" s="3" t="inlineStr"/>
      <c r="E9" s="3" t="inlineStr"/>
      <c r="F9" s="3" t="inlineStr">
        <is>
          <t>NewPass@456</t>
        </is>
      </c>
      <c r="G9" s="3" t="inlineStr"/>
      <c r="H9" s="3" t="inlineStr"/>
      <c r="I9" s="3" t="inlineStr"/>
      <c r="J9" s="3" t="inlineStr">
        <is>
          <t>rejected</t>
        </is>
      </c>
      <c r="K9" s="3" t="inlineStr">
        <is>
          <t>Please confirm your current password</t>
        </is>
      </c>
    </row>
    <row r="10" ht="19" customHeight="1">
      <c r="A10" s="3" t="inlineStr">
        <is>
          <t>SET-EC10</t>
        </is>
      </c>
      <c r="B10" s="3" t="inlineStr">
        <is>
          <t>website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https://ctfd.io</t>
        </is>
      </c>
      <c r="I10" s="3" t="inlineStr"/>
      <c r="J10" s="3" t="inlineStr">
        <is>
          <t>success</t>
        </is>
      </c>
      <c r="K10" s="3" t="inlineStr">
        <is>
          <t>Your profile has been updated</t>
        </is>
      </c>
    </row>
    <row r="11" ht="19" customHeight="1">
      <c r="A11" s="3" t="inlineStr">
        <is>
          <t>SET-EC11</t>
        </is>
      </c>
      <c r="B11" s="3" t="inlineStr">
        <is>
          <t>website</t>
        </is>
      </c>
      <c r="C11" s="3" t="inlineStr"/>
      <c r="D11" s="3" t="inlineStr"/>
      <c r="E11" s="3" t="inlineStr"/>
      <c r="F11" s="3" t="inlineStr"/>
      <c r="G11" s="3" t="inlineStr"/>
      <c r="H11" s="3" t="inlineStr">
        <is>
          <t>http://example.com</t>
        </is>
      </c>
      <c r="I11" s="3" t="inlineStr"/>
      <c r="J11" s="3" t="inlineStr">
        <is>
          <t>success</t>
        </is>
      </c>
      <c r="K11" s="3" t="inlineStr">
        <is>
          <t>Your profile has been updated</t>
        </is>
      </c>
    </row>
    <row r="12" ht="19" customHeight="1">
      <c r="A12" s="3" t="inlineStr">
        <is>
          <t>SET-EC12</t>
        </is>
      </c>
      <c r="B12" s="3" t="inlineStr">
        <is>
          <t>website</t>
        </is>
      </c>
      <c r="C12" s="3" t="inlineStr"/>
      <c r="D12" s="3" t="inlineStr"/>
      <c r="E12" s="3" t="inlineStr"/>
      <c r="F12" s="3" t="inlineStr"/>
      <c r="G12" s="3" t="inlineStr"/>
      <c r="H12" s="3" t="inlineStr">
        <is>
          <t>example.com</t>
        </is>
      </c>
      <c r="I12" s="3" t="inlineStr"/>
      <c r="J12" s="3" t="inlineStr">
        <is>
          <t>rejected</t>
        </is>
      </c>
      <c r="K12" s="3" t="inlineStr">
        <is>
          <t>Websites must be a proper URL starting with http or https</t>
        </is>
      </c>
    </row>
    <row r="13" ht="19" customHeight="1">
      <c r="A13" s="3" t="inlineStr">
        <is>
          <t>SET-SYN1</t>
        </is>
      </c>
      <c r="B13" s="3" t="inlineStr">
        <is>
          <t>website</t>
        </is>
      </c>
      <c r="C13" s="3" t="inlineStr"/>
      <c r="D13" s="3" t="inlineStr"/>
      <c r="E13" s="3" t="inlineStr"/>
      <c r="F13" s="3" t="inlineStr"/>
      <c r="G13" s="3" t="inlineStr"/>
      <c r="H13" s="3" t="inlineStr">
        <is>
          <t>ftp://ftp.example.com</t>
        </is>
      </c>
      <c r="I13" s="3" t="inlineStr"/>
      <c r="J13" s="3" t="inlineStr">
        <is>
          <t>rejected</t>
        </is>
      </c>
      <c r="K13" s="3" t="inlineStr">
        <is>
          <t>Websites must be a proper URL starting with http or https</t>
        </is>
      </c>
    </row>
    <row r="14" ht="19" customHeight="1">
      <c r="A14" s="3" t="inlineStr">
        <is>
          <t>SET-PW1</t>
        </is>
      </c>
      <c r="B14" s="3" t="inlineStr">
        <is>
          <t>profile</t>
        </is>
      </c>
      <c r="C14" s="3" t="inlineStr"/>
      <c r="D14" s="3" t="inlineStr"/>
      <c r="E14" s="3" t="inlineStr"/>
      <c r="F14" s="3" t="inlineStr"/>
      <c r="G14" s="3" t="inlineStr">
        <is>
          <t>Security Lab</t>
        </is>
      </c>
      <c r="H14" s="3" t="inlineStr">
        <is>
          <t>https://lab.org</t>
        </is>
      </c>
      <c r="I14" s="3" t="inlineStr">
        <is>
          <t>US</t>
        </is>
      </c>
      <c r="J14" s="3" t="inlineStr">
        <is>
          <t>success</t>
        </is>
      </c>
      <c r="K14" s="3" t="inlineStr">
        <is>
          <t>Your profile has been 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27" customWidth="1" min="5" max="5"/>
    <col width="12" customWidth="1" min="6" max="6"/>
    <col width="16" customWidth="1" min="7" max="7"/>
    <col width="22" customWidth="1" min="8" max="8"/>
    <col width="50" customWidth="1" min="9" max="9"/>
  </cols>
  <sheetData>
    <row r="1" ht="22" customHeight="1">
      <c r="A1" s="5" t="inlineStr">
        <is>
          <t>test_id</t>
        </is>
      </c>
      <c r="B1" s="5" t="inlineStr">
        <is>
          <t>technique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query</t>
        </is>
      </c>
      <c r="F1" s="5" t="inlineStr">
        <is>
          <t>page</t>
        </is>
      </c>
      <c r="G1" s="5" t="inlineStr">
        <is>
          <t>user_id_param</t>
        </is>
      </c>
      <c r="H1" s="5" t="inlineStr">
        <is>
          <t>expected_result</t>
        </is>
      </c>
      <c r="I1" s="5" t="inlineStr">
        <is>
          <t>note</t>
        </is>
      </c>
    </row>
    <row r="2" ht="19" customHeight="1">
      <c r="A2" s="3" t="inlineStr">
        <is>
          <t>USR-EC1</t>
        </is>
      </c>
      <c r="B2" s="3" t="inlineStr">
        <is>
          <t>ECP</t>
        </is>
      </c>
      <c r="C2" s="3" t="inlineStr">
        <is>
          <t>directory</t>
        </is>
      </c>
      <c r="D2" s="3" t="inlineStr"/>
      <c r="E2" s="3" t="inlineStr"/>
      <c r="F2" s="3" t="inlineStr"/>
      <c r="G2" s="3" t="inlineStr"/>
      <c r="H2" s="3" t="inlineStr">
        <is>
          <t>table_present</t>
        </is>
      </c>
      <c r="I2" s="3" t="inlineStr">
        <is>
          <t>Verify users directory table and columns exist</t>
        </is>
      </c>
    </row>
    <row r="3" ht="19" customHeight="1">
      <c r="A3" s="3" t="inlineStr">
        <is>
          <t>USR-EC3</t>
        </is>
      </c>
      <c r="B3" s="3" t="inlineStr">
        <is>
          <t>ECP</t>
        </is>
      </c>
      <c r="C3" s="3" t="inlineStr">
        <is>
          <t>profile</t>
        </is>
      </c>
      <c r="D3" s="3" t="inlineStr"/>
      <c r="E3" s="3" t="inlineStr"/>
      <c r="F3" s="3" t="inlineStr"/>
      <c r="G3" s="3" t="inlineStr">
        <is>
          <t>999999</t>
        </is>
      </c>
      <c r="H3" s="3" t="inlineStr">
        <is>
          <t>404_not_found</t>
        </is>
      </c>
      <c r="I3" s="3" t="inlineStr">
        <is>
          <t>Non-existent numeric user ID</t>
        </is>
      </c>
    </row>
    <row r="4" ht="19" customHeight="1">
      <c r="A4" s="3" t="inlineStr">
        <is>
          <t>USR-EC4</t>
        </is>
      </c>
      <c r="B4" s="3" t="inlineStr">
        <is>
          <t>ECP</t>
        </is>
      </c>
      <c r="C4" s="3" t="inlineStr">
        <is>
          <t>search</t>
        </is>
      </c>
      <c r="D4" s="3" t="inlineStr">
        <is>
          <t>name</t>
        </is>
      </c>
      <c r="E4" s="3" t="inlineStr">
        <is>
          <t>{user_name}</t>
        </is>
      </c>
      <c r="F4" s="3" t="inlineStr"/>
      <c r="G4" s="3" t="inlineStr"/>
      <c r="H4" s="3" t="inlineStr">
        <is>
          <t>match_found</t>
        </is>
      </c>
      <c r="I4" s="3" t="inlineStr">
        <is>
          <t>Search by exact username</t>
        </is>
      </c>
    </row>
    <row r="5" ht="19" customHeight="1">
      <c r="A5" s="3" t="inlineStr">
        <is>
          <t>USR-EC5</t>
        </is>
      </c>
      <c r="B5" s="3" t="inlineStr">
        <is>
          <t>ECP</t>
        </is>
      </c>
      <c r="C5" s="3" t="inlineStr">
        <is>
          <t>search</t>
        </is>
      </c>
      <c r="D5" s="3" t="inlineStr">
        <is>
          <t>name</t>
        </is>
      </c>
      <c r="E5" s="3" t="inlineStr">
        <is>
          <t>nonexistent_user_xyz_999</t>
        </is>
      </c>
      <c r="F5" s="3" t="inlineStr"/>
      <c r="G5" s="3" t="inlineStr"/>
      <c r="H5" s="3" t="inlineStr">
        <is>
          <t>no_results</t>
        </is>
      </c>
      <c r="I5" s="3" t="inlineStr">
        <is>
          <t>Search for non-existent username</t>
        </is>
      </c>
    </row>
    <row r="6" ht="19" customHeight="1">
      <c r="A6" s="3" t="inlineStr">
        <is>
          <t>USR-BVA1</t>
        </is>
      </c>
      <c r="B6" s="3" t="inlineStr">
        <is>
          <t>BVA</t>
        </is>
      </c>
      <c r="C6" s="3" t="inlineStr">
        <is>
          <t>zero_score</t>
        </is>
      </c>
      <c r="D6" s="3" t="inlineStr"/>
      <c r="E6" s="3" t="inlineStr"/>
      <c r="F6" s="3" t="inlineStr"/>
      <c r="G6" s="3" t="inlineStr"/>
      <c r="H6" s="3" t="inlineStr">
        <is>
          <t>listed_in_directory</t>
        </is>
      </c>
      <c r="I6" s="3" t="inlineStr">
        <is>
          <t>Fresh user with 0 points listed in users directory</t>
        </is>
      </c>
    </row>
    <row r="7" ht="19" customHeight="1">
      <c r="A7" s="3" t="inlineStr">
        <is>
          <t>USR-BVA3</t>
        </is>
      </c>
      <c r="B7" s="3" t="inlineStr">
        <is>
          <t>BVA</t>
        </is>
      </c>
      <c r="C7" s="3" t="inlineStr">
        <is>
          <t>pagination</t>
        </is>
      </c>
      <c r="D7" s="3" t="inlineStr"/>
      <c r="E7" s="3" t="inlineStr"/>
      <c r="F7" s="3" t="inlineStr">
        <is>
          <t>1</t>
        </is>
      </c>
      <c r="G7" s="3" t="inlineStr"/>
      <c r="H7" s="3" t="inlineStr">
        <is>
          <t>page_loaded</t>
        </is>
      </c>
      <c r="I7" s="3" t="inlineStr">
        <is>
          <t>Pagination boundary first page</t>
        </is>
      </c>
    </row>
    <row r="8" ht="19" customHeight="1">
      <c r="A8" s="3" t="inlineStr">
        <is>
          <t>USR-BVA4</t>
        </is>
      </c>
      <c r="B8" s="3" t="inlineStr">
        <is>
          <t>BVA</t>
        </is>
      </c>
      <c r="C8" s="3" t="inlineStr">
        <is>
          <t>pagination</t>
        </is>
      </c>
      <c r="D8" s="3" t="inlineStr"/>
      <c r="E8" s="3" t="inlineStr"/>
      <c r="F8" s="3" t="inlineStr">
        <is>
          <t>9999</t>
        </is>
      </c>
      <c r="G8" s="3" t="inlineStr"/>
      <c r="H8" s="3" t="inlineStr">
        <is>
          <t>empty_page</t>
        </is>
      </c>
      <c r="I8" s="3" t="inlineStr">
        <is>
          <t>Pagination boundary out-of-bounds page</t>
        </is>
      </c>
    </row>
    <row r="9" ht="19" customHeight="1">
      <c r="A9" s="3" t="inlineStr">
        <is>
          <t>USR-EG1</t>
        </is>
      </c>
      <c r="B9" s="3" t="inlineStr">
        <is>
          <t>Error Guessing</t>
        </is>
      </c>
      <c r="C9" s="3" t="inlineStr">
        <is>
          <t>profile</t>
        </is>
      </c>
      <c r="D9" s="3" t="inlineStr"/>
      <c r="E9" s="3" t="inlineStr"/>
      <c r="F9" s="3" t="inlineStr"/>
      <c r="G9" s="3" t="inlineStr">
        <is>
          <t>99999999</t>
        </is>
      </c>
      <c r="H9" s="3" t="inlineStr">
        <is>
          <t>404_not_found</t>
        </is>
      </c>
      <c r="I9" s="3" t="inlineStr">
        <is>
          <t>Extremely large user ID</t>
        </is>
      </c>
    </row>
    <row r="10" ht="19" customHeight="1">
      <c r="A10" s="3" t="inlineStr">
        <is>
          <t>USR-EG2</t>
        </is>
      </c>
      <c r="B10" s="3" t="inlineStr">
        <is>
          <t>Error Guessing</t>
        </is>
      </c>
      <c r="C10" s="3" t="inlineStr">
        <is>
          <t>search</t>
        </is>
      </c>
      <c r="D10" s="3" t="inlineStr">
        <is>
          <t>name</t>
        </is>
      </c>
      <c r="E10" s="3" t="inlineStr">
        <is>
          <t>&lt;script&gt;</t>
        </is>
      </c>
      <c r="F10" s="3" t="inlineStr"/>
      <c r="G10" s="3" t="inlineStr"/>
      <c r="H10" s="3" t="inlineStr">
        <is>
          <t>no_results</t>
        </is>
      </c>
      <c r="I10" s="3" t="inlineStr">
        <is>
          <t>Special script characters in search query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12" customWidth="1" min="4" max="4"/>
    <col width="30" customWidth="1" min="5" max="5"/>
    <col width="20" customWidth="1" min="6" max="6"/>
    <col width="27" customWidth="1" min="7" max="7"/>
    <col width="12" customWidth="1" min="8" max="8"/>
    <col width="12" customWidth="1" min="9" max="9"/>
    <col width="19" customWidth="1" min="10" max="10"/>
    <col width="19" customWidth="1" min="11" max="11"/>
    <col width="35" customWidth="1" min="12" max="12"/>
    <col width="47" customWidth="1" min="13" max="13"/>
  </cols>
  <sheetData>
    <row r="1" ht="22" customHeight="1">
      <c r="A1" s="5" t="inlineStr">
        <is>
          <t>test_id</t>
        </is>
      </c>
      <c r="B1" s="5" t="inlineStr">
        <is>
          <t>technique</t>
        </is>
      </c>
      <c r="C1" s="5" t="inlineStr">
        <is>
          <t>category</t>
        </is>
      </c>
      <c r="D1" s="5" t="inlineStr">
        <is>
          <t>user_role</t>
        </is>
      </c>
      <c r="E1" s="5" t="inlineStr">
        <is>
          <t>route</t>
        </is>
      </c>
      <c r="F1" s="5" t="inlineStr">
        <is>
          <t>title</t>
        </is>
      </c>
      <c r="G1" s="5" t="inlineStr">
        <is>
          <t>content</t>
        </is>
      </c>
      <c r="H1" s="5" t="inlineStr">
        <is>
          <t>draft</t>
        </is>
      </c>
      <c r="I1" s="5" t="inlineStr">
        <is>
          <t>hidden</t>
        </is>
      </c>
      <c r="J1" s="5" t="inlineStr">
        <is>
          <t>auth_required</t>
        </is>
      </c>
      <c r="K1" s="5" t="inlineStr">
        <is>
          <t>expected_outcome</t>
        </is>
      </c>
      <c r="L1" s="5" t="inlineStr">
        <is>
          <t>expected_text</t>
        </is>
      </c>
      <c r="M1" s="5" t="inlineStr">
        <is>
          <t>note</t>
        </is>
      </c>
    </row>
    <row r="2" ht="19" customHeight="1">
      <c r="A2" s="3" t="inlineStr">
        <is>
          <t>ADM-EC1</t>
        </is>
      </c>
      <c r="B2" s="3" t="inlineStr">
        <is>
          <t>Cause-Effect Graphing</t>
        </is>
      </c>
      <c r="C2" s="3" t="inlineStr">
        <is>
          <t>access_control</t>
        </is>
      </c>
      <c r="D2" s="3" t="inlineStr">
        <is>
          <t>unauth</t>
        </is>
      </c>
      <c r="E2" s="3" t="inlineStr">
        <is>
          <t>/admin</t>
        </is>
      </c>
      <c r="F2" s="3" t="inlineStr"/>
      <c r="G2" s="3" t="inlineStr"/>
      <c r="H2" s="3" t="inlineStr"/>
      <c r="I2" s="3" t="inlineStr"/>
      <c r="J2" s="3" t="inlineStr">
        <is>
          <t>redirect_login</t>
        </is>
      </c>
      <c r="K2" s="3" t="inlineStr">
        <is>
          <t>/login</t>
        </is>
      </c>
      <c r="L2" s="3" t="inlineStr">
        <is>
          <t>Unauthenticated access to /admin</t>
        </is>
      </c>
    </row>
    <row r="3" ht="19" customHeight="1">
      <c r="A3" s="3" t="inlineStr">
        <is>
          <t>ADM-EC2</t>
        </is>
      </c>
      <c r="B3" s="3" t="inlineStr">
        <is>
          <t>Cause-Effect Graphing</t>
        </is>
      </c>
      <c r="C3" s="3" t="inlineStr">
        <is>
          <t>access_control</t>
        </is>
      </c>
      <c r="D3" s="3" t="inlineStr">
        <is>
          <t>regular</t>
        </is>
      </c>
      <c r="E3" s="3" t="inlineStr">
        <is>
          <t>/admin</t>
        </is>
      </c>
      <c r="F3" s="3" t="inlineStr"/>
      <c r="G3" s="3" t="inlineStr"/>
      <c r="H3" s="3" t="inlineStr"/>
      <c r="I3" s="3" t="inlineStr"/>
      <c r="J3" s="3" t="inlineStr">
        <is>
          <t>redirect_login</t>
        </is>
      </c>
      <c r="K3" s="3" t="inlineStr">
        <is>
          <t>/login</t>
        </is>
      </c>
      <c r="L3" s="3" t="inlineStr">
        <is>
          <t>Regular user access to /admin</t>
        </is>
      </c>
    </row>
    <row r="4" ht="19" customHeight="1">
      <c r="A4" s="3" t="inlineStr">
        <is>
          <t>ADM-EC3</t>
        </is>
      </c>
      <c r="B4" s="3" t="inlineStr">
        <is>
          <t>Cause-Effect Graphing</t>
        </is>
      </c>
      <c r="C4" s="3" t="inlineStr">
        <is>
          <t>access_control</t>
        </is>
      </c>
      <c r="D4" s="3" t="inlineStr">
        <is>
          <t>admin</t>
        </is>
      </c>
      <c r="E4" s="3" t="inlineStr">
        <is>
          <t>/admin</t>
        </is>
      </c>
      <c r="F4" s="3" t="inlineStr"/>
      <c r="G4" s="3" t="inlineStr"/>
      <c r="H4" s="3" t="inlineStr"/>
      <c r="I4" s="3" t="inlineStr"/>
      <c r="J4" s="3" t="inlineStr">
        <is>
          <t>dashboard_loaded</t>
        </is>
      </c>
      <c r="K4" s="3" t="inlineStr">
        <is>
          <t>Admin Panel</t>
        </is>
      </c>
      <c r="L4" s="3" t="inlineStr">
        <is>
          <t>Admin access to /admin</t>
        </is>
      </c>
    </row>
    <row r="5" ht="19" customHeight="1">
      <c r="A5" s="3" t="inlineStr">
        <is>
          <t>ADM-EC4</t>
        </is>
      </c>
      <c r="B5" s="3" t="inlineStr">
        <is>
          <t>Decision Table</t>
        </is>
      </c>
      <c r="C5" s="3" t="inlineStr">
        <is>
          <t>page_creation</t>
        </is>
      </c>
      <c r="D5" s="3" t="inlineStr">
        <is>
          <t>admin</t>
        </is>
      </c>
      <c r="E5" s="3" t="inlineStr">
        <is>
          <t>rules-{uid}</t>
        </is>
      </c>
      <c r="F5" s="3" t="inlineStr">
        <is>
          <t>Official Rules</t>
        </is>
      </c>
      <c r="G5" s="3" t="inlineStr">
        <is>
          <t># Official Rules Content</t>
        </is>
      </c>
      <c r="H5" s="3" t="inlineStr">
        <is>
          <t>False</t>
        </is>
      </c>
      <c r="I5" s="3" t="inlineStr">
        <is>
          <t>False</t>
        </is>
      </c>
      <c r="J5" s="3" t="inlineStr">
        <is>
          <t>False</t>
        </is>
      </c>
      <c r="K5" s="3" t="inlineStr">
        <is>
          <t>published_page</t>
        </is>
      </c>
      <c r="L5" s="3" t="inlineStr">
        <is>
          <t>Official Rules Content</t>
        </is>
      </c>
      <c r="M5" s="3" t="inlineStr">
        <is>
          <t>Published page visible in nav and URL</t>
        </is>
      </c>
    </row>
    <row r="6" ht="19" customHeight="1">
      <c r="A6" s="3" t="inlineStr">
        <is>
          <t>ADM-EC5</t>
        </is>
      </c>
      <c r="B6" s="3" t="inlineStr">
        <is>
          <t>Decision Table</t>
        </is>
      </c>
      <c r="C6" s="3" t="inlineStr">
        <is>
          <t>page_creation</t>
        </is>
      </c>
      <c r="D6" s="3" t="inlineStr">
        <is>
          <t>admin</t>
        </is>
      </c>
      <c r="E6" s="3" t="inlineStr">
        <is>
          <t>draft-{uid}</t>
        </is>
      </c>
      <c r="F6" s="3" t="inlineStr">
        <is>
          <t>Draft Page</t>
        </is>
      </c>
      <c r="G6" s="3" t="inlineStr">
        <is>
          <t># Secret Draft</t>
        </is>
      </c>
      <c r="H6" s="3" t="inlineStr">
        <is>
          <t>True</t>
        </is>
      </c>
      <c r="I6" s="3" t="inlineStr">
        <is>
          <t>False</t>
        </is>
      </c>
      <c r="J6" s="3" t="inlineStr">
        <is>
          <t>False</t>
        </is>
      </c>
      <c r="K6" s="3" t="inlineStr">
        <is>
          <t>404_not_found</t>
        </is>
      </c>
      <c r="L6" s="3" t="inlineStr">
        <is>
          <t>404 Not Found</t>
        </is>
      </c>
      <c r="M6" s="3" t="inlineStr">
        <is>
          <t>Draft page returns 404</t>
        </is>
      </c>
    </row>
    <row r="7" ht="19" customHeight="1">
      <c r="A7" s="3" t="inlineStr">
        <is>
          <t>ADM-EC6</t>
        </is>
      </c>
      <c r="B7" s="3" t="inlineStr">
        <is>
          <t>Decision Table</t>
        </is>
      </c>
      <c r="C7" s="3" t="inlineStr">
        <is>
          <t>page_creation</t>
        </is>
      </c>
      <c r="D7" s="3" t="inlineStr">
        <is>
          <t>admin</t>
        </is>
      </c>
      <c r="E7" s="3" t="inlineStr">
        <is>
          <t>auth-only-{uid}</t>
        </is>
      </c>
      <c r="F7" s="3" t="inlineStr">
        <is>
          <t>Members Only</t>
        </is>
      </c>
      <c r="G7" s="3" t="inlineStr">
        <is>
          <t># Member Content</t>
        </is>
      </c>
      <c r="H7" s="3" t="inlineStr">
        <is>
          <t>False</t>
        </is>
      </c>
      <c r="I7" s="3" t="inlineStr">
        <is>
          <t>False</t>
        </is>
      </c>
      <c r="J7" s="3" t="inlineStr">
        <is>
          <t>True</t>
        </is>
      </c>
      <c r="K7" s="3" t="inlineStr">
        <is>
          <t>auth_required</t>
        </is>
      </c>
      <c r="L7" s="3" t="inlineStr">
        <is>
          <t>/login</t>
        </is>
      </c>
      <c r="M7" s="3" t="inlineStr">
        <is>
          <t>Auth-required page redirects unauthenticated</t>
        </is>
      </c>
    </row>
    <row r="8" ht="19" customHeight="1">
      <c r="A8" s="3" t="inlineStr">
        <is>
          <t>ADM-BVA1</t>
        </is>
      </c>
      <c r="B8" s="3" t="inlineStr">
        <is>
          <t>BVA</t>
        </is>
      </c>
      <c r="C8" s="3" t="inlineStr">
        <is>
          <t>page_creation</t>
        </is>
      </c>
      <c r="D8" s="3" t="inlineStr">
        <is>
          <t>admin</t>
        </is>
      </c>
      <c r="E8" s="3" t="inlineStr">
        <is>
          <t>r{uid}</t>
        </is>
      </c>
      <c r="F8" s="3" t="inlineStr">
        <is>
          <t>Single Char Route</t>
        </is>
      </c>
      <c r="G8" s="3" t="inlineStr">
        <is>
          <t># Short Route</t>
        </is>
      </c>
      <c r="H8" s="3" t="inlineStr">
        <is>
          <t>False</t>
        </is>
      </c>
      <c r="I8" s="3" t="inlineStr">
        <is>
          <t>False</t>
        </is>
      </c>
      <c r="J8" s="3" t="inlineStr">
        <is>
          <t>False</t>
        </is>
      </c>
      <c r="K8" s="3" t="inlineStr">
        <is>
          <t>published_page</t>
        </is>
      </c>
      <c r="L8" s="3" t="inlineStr">
        <is>
          <t>Short Route</t>
        </is>
      </c>
      <c r="M8" s="3" t="inlineStr">
        <is>
          <t>Short route boundary</t>
        </is>
      </c>
    </row>
    <row r="9" ht="19" customHeight="1">
      <c r="A9" s="3" t="inlineStr">
        <is>
          <t>ADM-BVA2</t>
        </is>
      </c>
      <c r="B9" s="3" t="inlineStr">
        <is>
          <t>BVA</t>
        </is>
      </c>
      <c r="C9" s="3" t="inlineStr">
        <is>
          <t>page_creation</t>
        </is>
      </c>
      <c r="D9" s="3" t="inlineStr">
        <is>
          <t>admin</t>
        </is>
      </c>
      <c r="E9" s="3" t="inlineStr">
        <is>
          <t>long-rules-guide-2026-{uid}</t>
        </is>
      </c>
      <c r="F9" s="3" t="inlineStr">
        <is>
          <t>Long Route</t>
        </is>
      </c>
      <c r="G9" s="3" t="inlineStr">
        <is>
          <t># Long Route Content</t>
        </is>
      </c>
      <c r="H9" s="3" t="inlineStr">
        <is>
          <t>False</t>
        </is>
      </c>
      <c r="I9" s="3" t="inlineStr">
        <is>
          <t>False</t>
        </is>
      </c>
      <c r="J9" s="3" t="inlineStr">
        <is>
          <t>False</t>
        </is>
      </c>
      <c r="K9" s="3" t="inlineStr">
        <is>
          <t>published_page</t>
        </is>
      </c>
      <c r="L9" s="3" t="inlineStr">
        <is>
          <t>Long Route Content</t>
        </is>
      </c>
      <c r="M9" s="3" t="inlineStr">
        <is>
          <t>Long hyphenated route boundary</t>
        </is>
      </c>
    </row>
    <row r="10" ht="19" customHeight="1">
      <c r="A10" s="3" t="inlineStr">
        <is>
          <t>ADM-EG1</t>
        </is>
      </c>
      <c r="B10" s="3" t="inlineStr">
        <is>
          <t>Error Guessing</t>
        </is>
      </c>
      <c r="C10" s="3" t="inlineStr">
        <is>
          <t>access_control</t>
        </is>
      </c>
      <c r="D10" s="3" t="inlineStr">
        <is>
          <t>admin</t>
        </is>
      </c>
      <c r="E10" s="3" t="inlineStr">
        <is>
          <t>/admin/nonexistent_xyz_999</t>
        </is>
      </c>
      <c r="F10" s="3" t="inlineStr"/>
      <c r="G10" s="3" t="inlineStr"/>
      <c r="H10" s="3" t="inlineStr"/>
      <c r="I10" s="3" t="inlineStr"/>
      <c r="J10" s="3" t="inlineStr">
        <is>
          <t>404_not_found</t>
        </is>
      </c>
      <c r="K10" s="3" t="inlineStr">
        <is>
          <t>404 Not Found</t>
        </is>
      </c>
      <c r="L10" s="3" t="inlineStr">
        <is>
          <t>Non-existent admin route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5" customWidth="1" min="3" max="3"/>
    <col width="45" customWidth="1" min="4" max="4"/>
    <col width="45" customWidth="1" min="5" max="5"/>
    <col width="14" customWidth="1" min="6" max="6"/>
  </cols>
  <sheetData>
    <row r="1" ht="30" customHeight="1">
      <c r="A1" s="6" t="inlineStr">
        <is>
          <t>CTFd Test Execution Summary (Member 2)</t>
        </is>
      </c>
    </row>
    <row r="2"/>
    <row r="3" ht="24" customHeight="1">
      <c r="A3" s="1" t="inlineStr">
        <is>
          <t>Module</t>
        </is>
      </c>
      <c r="B3" s="1" t="inlineStr">
        <is>
          <t>Total</t>
        </is>
      </c>
      <c r="C3" s="1" t="inlineStr">
        <is>
          <t>Pass</t>
        </is>
      </c>
      <c r="D3" s="1" t="inlineStr">
        <is>
          <t>Fail</t>
        </is>
      </c>
      <c r="E3" s="1" t="inlineStr">
        <is>
          <t>Not Run</t>
        </is>
      </c>
      <c r="F3" s="1" t="inlineStr">
        <is>
          <t>Pass Rate</t>
        </is>
      </c>
    </row>
    <row r="4" ht="20" customHeight="1">
      <c r="A4" s="7" t="inlineStr">
        <is>
          <t>Profile &amp; Settings</t>
        </is>
      </c>
      <c r="B4" s="2">
        <f>COUNTIF('Test Cases'!$B$2:$B$41, A4)</f>
        <v/>
      </c>
      <c r="C4" s="2">
        <f>COUNTIFS('Test Cases'!$B$2:$B$41, A4, 'Test Cases'!$J$2:$J$41, "Pass")</f>
        <v/>
      </c>
      <c r="D4" s="2">
        <f>COUNTIFS('Test Cases'!$B$2:$B$41, A4, 'Test Cases'!$J$2:$J$41, "Fail")</f>
        <v/>
      </c>
      <c r="E4" s="2">
        <f>COUNTIFS('Test Cases'!$B$2:$B$41, A4, 'Test Cases'!$J$2:$J$41, "Not Run")</f>
        <v/>
      </c>
      <c r="F4" s="8">
        <f>IF(B4=0, 0, C4/B4)</f>
        <v/>
      </c>
    </row>
    <row r="5" ht="20" customHeight="1">
      <c r="A5" s="7" t="inlineStr">
        <is>
          <t>Users Directory &amp; Public Profile</t>
        </is>
      </c>
      <c r="B5" s="2">
        <f>COUNTIF('Test Cases'!$B$2:$B$41, A5)</f>
        <v/>
      </c>
      <c r="C5" s="2">
        <f>COUNTIFS('Test Cases'!$B$2:$B$41, A5, 'Test Cases'!$J$2:$J$41, "Pass")</f>
        <v/>
      </c>
      <c r="D5" s="2">
        <f>COUNTIFS('Test Cases'!$B$2:$B$41, A5, 'Test Cases'!$J$2:$J$41, "Fail")</f>
        <v/>
      </c>
      <c r="E5" s="2">
        <f>COUNTIFS('Test Cases'!$B$2:$B$41, A5, 'Test Cases'!$J$2:$J$41, "Not Run")</f>
        <v/>
      </c>
      <c r="F5" s="8">
        <f>IF(B5=0, 0, C5/B5)</f>
        <v/>
      </c>
    </row>
    <row r="6" ht="20" customHeight="1">
      <c r="A6" s="7" t="inlineStr">
        <is>
          <t>Admin Panel</t>
        </is>
      </c>
      <c r="B6" s="2">
        <f>COUNTIF('Test Cases'!$B$2:$B$41, A6)</f>
        <v/>
      </c>
      <c r="C6" s="2">
        <f>COUNTIFS('Test Cases'!$B$2:$B$41, A6, 'Test Cases'!$J$2:$J$41, "Pass")</f>
        <v/>
      </c>
      <c r="D6" s="2">
        <f>COUNTIFS('Test Cases'!$B$2:$B$41, A6, 'Test Cases'!$J$2:$J$41, "Fail")</f>
        <v/>
      </c>
      <c r="E6" s="2">
        <f>COUNTIFS('Test Cases'!$B$2:$B$41, A6, 'Test Cases'!$J$2:$J$41, "Not Run")</f>
        <v/>
      </c>
      <c r="F6" s="8">
        <f>IF(B6=0, 0, C6/B6)</f>
        <v/>
      </c>
    </row>
    <row r="7" ht="22" customHeight="1">
      <c r="A7" s="9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  <c r="F7" s="11">
        <f>IF(B7=0, 0, C7/B7)</f>
        <v/>
      </c>
    </row>
    <row r="8"/>
    <row r="9">
      <c r="A9" s="12" t="inlineStr">
        <is>
          <t>Notes &amp; Verification Details</t>
        </is>
      </c>
    </row>
    <row r="10" ht="18" customHeight="1">
      <c r="A10" s="13" t="inlineStr">
        <is>
          <t>• Status values reflect automated Selenium test suite execution on local CTFd 3.8.8.</t>
        </is>
      </c>
    </row>
    <row r="11" ht="18" customHeight="1">
      <c r="A11" s="13" t="inlineStr">
        <is>
          <t>• Member 2 Modules: Module A (Profile &amp; Settings), Module B (Users Directory &amp; Profile), Module C (Admin Panel).</t>
        </is>
      </c>
    </row>
    <row r="12" ht="18" customHeight="1">
      <c r="A12" s="13" t="inlineStr">
        <is>
          <t>• Test Techniques Used: Equivalence Class Partitioning (ECP), Boundary Value Analysis (BVA), Syntax Testing, Pairwise Testing, Cause-Effect Graphing / Decision Table Testing, State Transition Testing, Use Case / Scenario Testing, Error Guessing.</t>
        </is>
      </c>
    </row>
    <row r="13" ht="18" customHeight="1">
      <c r="A13" s="13" t="inlineStr">
        <is>
          <t>• Change any value in the Status column of 'Test Cases' and this Summary table updates automatically via Excel formulas.</t>
        </is>
      </c>
    </row>
    <row r="14" ht="18" customHeight="1">
      <c r="A14" s="13" t="inlineStr">
        <is>
          <t>• Valid Status values: Pass, Fail, Not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2026-10-18T12:36:28Z</dcterms:created>
  <dcterms:modified xsi:type="dcterms:W3CDTF">2026-10-18T12:36:28Z</dcterms:modified>
</cp:coreProperties>
</file>