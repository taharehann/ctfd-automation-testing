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Register Data" sheetId="2" state="visible" r:id="rId4"/>
    <sheet name="Login Data" sheetId="3" state="visible" r:id="rId5"/>
    <sheet name="Flag Data" sheetId="4" state="visible" r:id="rId6"/>
    <sheet name="Summary" sheetId="5" state="visible" r:id="rId7"/>
  </sheets>
  <definedNames>
    <definedName function="false" hidden="true" localSheetId="0" name="_xlnm._FilterDatabase" vbProcedure="false">'Test Cases'!$A$1:$J$50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<sst xmlns="http://schemas.openxmlformats.org/spreadsheetml/2006/main" count="692" uniqueCount="349">
  <si>
    <t xml:space="preserve">Test ID</t>
  </si>
  <si>
    <t xml:space="preserve">Module</t>
  </si>
  <si>
    <t xml:space="preserve">Design Ref (notes)</t>
  </si>
  <si>
    <t xml:space="preserve">Technique</t>
  </si>
  <si>
    <t xml:space="preserve">Description</t>
  </si>
  <si>
    <t xml:space="preserve">Input Data</t>
  </si>
  <si>
    <t xml:space="preserve">Expected Result</t>
  </si>
  <si>
    <t xml:space="preserve">Data Source</t>
  </si>
  <si>
    <t xml:space="preserve">Automated Test</t>
  </si>
  <si>
    <t xml:space="preserve">Status</t>
  </si>
  <si>
    <t xml:space="preserve">SMOKE-01</t>
  </si>
  <si>
    <t xml:space="preserve">Setup</t>
  </si>
  <si>
    <t xml:space="preserve">-</t>
  </si>
  <si>
    <t xml:space="preserve">Smoke Test</t>
  </si>
  <si>
    <t xml:space="preserve">CTFd home page opens in the browser</t>
  </si>
  <si>
    <t xml:space="preserve">open http://localhost:4000</t>
  </si>
  <si>
    <t xml:space="preserve">Page title contains TestCTF</t>
  </si>
  <si>
    <t xml:space="preserve">SmokeTest.test_home_page_opens</t>
  </si>
  <si>
    <t xml:space="preserve">Pass</t>
  </si>
  <si>
    <t xml:space="preserve">AUTH-REG-01</t>
  </si>
  <si>
    <t xml:space="preserve">Authentication</t>
  </si>
  <si>
    <t xml:space="preserve">EC1</t>
  </si>
  <si>
    <t xml:space="preserve">ECP</t>
  </si>
  <si>
    <t xml:space="preserve">Register with a valid username, email and password</t>
  </si>
  <si>
    <t xml:space="preserve">user_&lt;random&gt; / u&lt;random&gt;@test.com / Pass@123</t>
  </si>
  <si>
    <t xml:space="preserve">Account created, Challenges page opens</t>
  </si>
  <si>
    <t xml:space="preserve">data/register_data.csv</t>
  </si>
  <si>
    <t xml:space="preserve">RegisterTests.test_register_01</t>
  </si>
  <si>
    <t xml:space="preserve">AUTH-REG-02</t>
  </si>
  <si>
    <t xml:space="preserve">EC2</t>
  </si>
  <si>
    <t xml:space="preserve">Username with spaces only</t>
  </si>
  <si>
    <t xml:space="preserve">username: 3 spaces / valid email / Pass@123</t>
  </si>
  <si>
    <t xml:space="preserve">Pick a longer user name</t>
  </si>
  <si>
    <t xml:space="preserve">RegisterTests.test_register_02</t>
  </si>
  <si>
    <t xml:space="preserve">AUTH-REG-03</t>
  </si>
  <si>
    <t xml:space="preserve">EC3</t>
  </si>
  <si>
    <t xml:space="preserve">Username that is already taken</t>
  </si>
  <si>
    <t xml:space="preserve">admin / valid email / Pass@123</t>
  </si>
  <si>
    <t xml:space="preserve">That user name is already taken</t>
  </si>
  <si>
    <t xml:space="preserve">RegisterTests.test_register_03</t>
  </si>
  <si>
    <t xml:space="preserve">AUTH-REG-04</t>
  </si>
  <si>
    <t xml:space="preserve">EC4</t>
  </si>
  <si>
    <t xml:space="preserve">Username in email format</t>
  </si>
  <si>
    <t xml:space="preserve">&lt;random&gt;@b.com / valid email / Pass@123</t>
  </si>
  <si>
    <t xml:space="preserve">Your user name cannot be an email address</t>
  </si>
  <si>
    <t xml:space="preserve">RegisterTests.test_register_04</t>
  </si>
  <si>
    <t xml:space="preserve">AUTH-REG-05</t>
  </si>
  <si>
    <t xml:space="preserve">EC6</t>
  </si>
  <si>
    <t xml:space="preserve">Email with wrong format (abc)</t>
  </si>
  <si>
    <t xml:space="preserve">valid username / abc / Pass@123</t>
  </si>
  <si>
    <t xml:space="preserve">Form is not submitted (browser email check)</t>
  </si>
  <si>
    <t xml:space="preserve">RegisterTests.test_register_05</t>
  </si>
  <si>
    <t xml:space="preserve">AUTH-REG-06</t>
  </si>
  <si>
    <t xml:space="preserve">Email with wrong format (abc@)</t>
  </si>
  <si>
    <t xml:space="preserve">valid username / abc@ / Pass@123</t>
  </si>
  <si>
    <t xml:space="preserve">RegisterTests.test_register_06</t>
  </si>
  <si>
    <t xml:space="preserve">AUTH-REG-07</t>
  </si>
  <si>
    <t xml:space="preserve">EC7</t>
  </si>
  <si>
    <t xml:space="preserve">Email that is already used</t>
  </si>
  <si>
    <t xml:space="preserve">valid username / admin@test.com / Pass@123</t>
  </si>
  <si>
    <t xml:space="preserve">That email has already been used</t>
  </si>
  <si>
    <t xml:space="preserve">RegisterTests.test_register_07</t>
  </si>
  <si>
    <t xml:space="preserve">AUTH-REG-08</t>
  </si>
  <si>
    <t xml:space="preserve">EC9</t>
  </si>
  <si>
    <t xml:space="preserve">Password with spaces only</t>
  </si>
  <si>
    <t xml:space="preserve">valid username / valid email / 3 spaces</t>
  </si>
  <si>
    <t xml:space="preserve">Pick a longer password</t>
  </si>
  <si>
    <t xml:space="preserve">RegisterTests.test_register_08</t>
  </si>
  <si>
    <t xml:space="preserve">AUTH-REG-09</t>
  </si>
  <si>
    <t xml:space="preserve">BVA1</t>
  </si>
  <si>
    <t xml:space="preserve">BVA</t>
  </si>
  <si>
    <t xml:space="preserve">Username below minimum length (0 chars)</t>
  </si>
  <si>
    <t xml:space="preserve">blank username / valid email / Pass@123</t>
  </si>
  <si>
    <t xml:space="preserve">Form is not submitted</t>
  </si>
  <si>
    <t xml:space="preserve">RegisterTests.test_register_09</t>
  </si>
  <si>
    <t xml:space="preserve">AUTH-REG-10</t>
  </si>
  <si>
    <t xml:space="preserve">BVA2</t>
  </si>
  <si>
    <t xml:space="preserve">Username at minimum length (1 char)</t>
  </si>
  <si>
    <t xml:space="preserve">1 random character / valid email / Pass@123</t>
  </si>
  <si>
    <t xml:space="preserve">Account created</t>
  </si>
  <si>
    <t xml:space="preserve">RegisterTests.test_register_10</t>
  </si>
  <si>
    <t xml:space="preserve">AUTH-REG-11</t>
  </si>
  <si>
    <t xml:space="preserve">BVA3</t>
  </si>
  <si>
    <t xml:space="preserve">Username just above minimum (2 chars)</t>
  </si>
  <si>
    <t xml:space="preserve">2 random characters / valid email / Pass@123</t>
  </si>
  <si>
    <t xml:space="preserve">RegisterTests.test_register_11</t>
  </si>
  <si>
    <t xml:space="preserve">AUTH-REG-12</t>
  </si>
  <si>
    <t xml:space="preserve">BVA4</t>
  </si>
  <si>
    <t xml:space="preserve">Password below minimum length (0 chars)</t>
  </si>
  <si>
    <t xml:space="preserve">valid username / valid email / blank</t>
  </si>
  <si>
    <t xml:space="preserve">RegisterTests.test_register_12</t>
  </si>
  <si>
    <t xml:space="preserve">AUTH-REG-13</t>
  </si>
  <si>
    <t xml:space="preserve">BVA5</t>
  </si>
  <si>
    <t xml:space="preserve">Password at minimum length (1 char)</t>
  </si>
  <si>
    <t xml:space="preserve">valid username / valid email / a</t>
  </si>
  <si>
    <t xml:space="preserve">RegisterTests.test_register_13</t>
  </si>
  <si>
    <t xml:space="preserve">AUTH-REG-14</t>
  </si>
  <si>
    <t xml:space="preserve">BVA6</t>
  </si>
  <si>
    <t xml:space="preserve">Password just below maximum (127 chars)</t>
  </si>
  <si>
    <t xml:space="preserve">valid username / valid email / 127 x a</t>
  </si>
  <si>
    <t xml:space="preserve">RegisterTests.test_register_14</t>
  </si>
  <si>
    <t xml:space="preserve">AUTH-REG-15</t>
  </si>
  <si>
    <t xml:space="preserve">BVA7</t>
  </si>
  <si>
    <t xml:space="preserve">Password at maximum length (128 chars)</t>
  </si>
  <si>
    <t xml:space="preserve">valid username / valid email / 128 x a</t>
  </si>
  <si>
    <t xml:space="preserve">RegisterTests.test_register_15</t>
  </si>
  <si>
    <t xml:space="preserve">AUTH-REG-16</t>
  </si>
  <si>
    <t xml:space="preserve">BVA8</t>
  </si>
  <si>
    <t xml:space="preserve">Password just above maximum (129 chars)</t>
  </si>
  <si>
    <t xml:space="preserve">valid username / valid email / 129 x a</t>
  </si>
  <si>
    <t xml:space="preserve">Pick a shorter password</t>
  </si>
  <si>
    <t xml:space="preserve">RegisterTests.test_register_16</t>
  </si>
  <si>
    <t xml:space="preserve">AUTH-REG-17</t>
  </si>
  <si>
    <t xml:space="preserve">R6</t>
  </si>
  <si>
    <t xml:space="preserve">Decision Table</t>
  </si>
  <si>
    <t xml:space="preserve">Username taken and password too long</t>
  </si>
  <si>
    <t xml:space="preserve">admin / valid email / 129 x a</t>
  </si>
  <si>
    <t xml:space="preserve">Username error and password error shown</t>
  </si>
  <si>
    <t xml:space="preserve">RegisterTests.test_register_17</t>
  </si>
  <si>
    <t xml:space="preserve">AUTH-REG-18</t>
  </si>
  <si>
    <t xml:space="preserve">R7</t>
  </si>
  <si>
    <t xml:space="preserve">Email taken and password too long</t>
  </si>
  <si>
    <t xml:space="preserve">valid username / admin@test.com / 129 x a</t>
  </si>
  <si>
    <t xml:space="preserve">Email error and password error shown</t>
  </si>
  <si>
    <t xml:space="preserve">RegisterTests.test_register_18</t>
  </si>
  <si>
    <t xml:space="preserve">AUTH-REG-19</t>
  </si>
  <si>
    <t xml:space="preserve">R8</t>
  </si>
  <si>
    <t xml:space="preserve">Username taken, email taken and password too long</t>
  </si>
  <si>
    <t xml:space="preserve">admin / admin@test.com / 129 x a</t>
  </si>
  <si>
    <t xml:space="preserve">Username, email and password errors shown</t>
  </si>
  <si>
    <t xml:space="preserve">RegisterTests.test_register_19</t>
  </si>
  <si>
    <t xml:space="preserve">AUTH-REG-20</t>
  </si>
  <si>
    <t xml:space="preserve">EG1</t>
  </si>
  <si>
    <t xml:space="preserve">Error Guessing</t>
  </si>
  <si>
    <t xml:space="preserve">Username with spaces around it (spaces are trimmed)</t>
  </si>
  <si>
    <t xml:space="preserve">2 spaces + user_&lt;random&gt; + 2 spaces / valid email / Pass@123</t>
  </si>
  <si>
    <t xml:space="preserve">RegisterTests.test_register_20</t>
  </si>
  <si>
    <t xml:space="preserve">AUTH-REG-21</t>
  </si>
  <si>
    <t xml:space="preserve">EG2</t>
  </si>
  <si>
    <t xml:space="preserve">Existing email written in capital letters</t>
  </si>
  <si>
    <t xml:space="preserve">valid username / ADMIN@TEST.COM / Pass@123</t>
  </si>
  <si>
    <t xml:space="preserve">RegisterTests.test_register_21</t>
  </si>
  <si>
    <t xml:space="preserve">AUTH-LOG-01</t>
  </si>
  <si>
    <t xml:space="preserve">L1</t>
  </si>
  <si>
    <t xml:space="preserve">Login with username and correct password</t>
  </si>
  <si>
    <t xml:space="preserve">login_user / Login@123</t>
  </si>
  <si>
    <t xml:space="preserve">Logged in, Challenges page opens</t>
  </si>
  <si>
    <t xml:space="preserve">data/login_data.csv</t>
  </si>
  <si>
    <t xml:space="preserve">LoginTests.test_login_1</t>
  </si>
  <si>
    <t xml:space="preserve">AUTH-LOG-02</t>
  </si>
  <si>
    <t xml:space="preserve">L2</t>
  </si>
  <si>
    <t xml:space="preserve">Login with email and correct password</t>
  </si>
  <si>
    <t xml:space="preserve">login_user@test.com / Login@123</t>
  </si>
  <si>
    <t xml:space="preserve">LoginTests.test_login_2</t>
  </si>
  <si>
    <t xml:space="preserve">AUTH-LOG-03</t>
  </si>
  <si>
    <t xml:space="preserve">L3</t>
  </si>
  <si>
    <t xml:space="preserve">Valid username with wrong password</t>
  </si>
  <si>
    <t xml:space="preserve">login_user / WrongPass1</t>
  </si>
  <si>
    <t xml:space="preserve">Your username or password is incorrect</t>
  </si>
  <si>
    <t xml:space="preserve">LoginTests.test_login_3</t>
  </si>
  <si>
    <t xml:space="preserve">AUTH-LOG-04</t>
  </si>
  <si>
    <t xml:space="preserve">L4</t>
  </si>
  <si>
    <t xml:space="preserve">Username that does not exist</t>
  </si>
  <si>
    <t xml:space="preserve">no_such_user_xyz / Login@123</t>
  </si>
  <si>
    <t xml:space="preserve">LoginTests.test_login_4</t>
  </si>
  <si>
    <t xml:space="preserve">AUTH-LOG-05</t>
  </si>
  <si>
    <t xml:space="preserve">L5</t>
  </si>
  <si>
    <t xml:space="preserve">Both fields blank</t>
  </si>
  <si>
    <t xml:space="preserve">blank / blank</t>
  </si>
  <si>
    <t xml:space="preserve">Form is not submitted, user stays on login page</t>
  </si>
  <si>
    <t xml:space="preserve">LoginTests.test_login_5</t>
  </si>
  <si>
    <t xml:space="preserve">AUTH-LOG-06</t>
  </si>
  <si>
    <t xml:space="preserve">L6</t>
  </si>
  <si>
    <t xml:space="preserve">State Transition</t>
  </si>
  <si>
    <t xml:space="preserve">Logout after login</t>
  </si>
  <si>
    <t xml:space="preserve">login, then open /logout</t>
  </si>
  <si>
    <t xml:space="preserve">Back on home page, Login link is visible</t>
  </si>
  <si>
    <t xml:space="preserve">LoginTests.test_logout</t>
  </si>
  <si>
    <t xml:space="preserve">CHAL-01</t>
  </si>
  <si>
    <t xml:space="preserve">Challenges</t>
  </si>
  <si>
    <t xml:space="preserve">FL1</t>
  </si>
  <si>
    <t xml:space="preserve">Exact correct flag</t>
  </si>
  <si>
    <t xml:space="preserve">flag{test123}</t>
  </si>
  <si>
    <t xml:space="preserve">Correct</t>
  </si>
  <si>
    <t xml:space="preserve">data/flag_data.csv</t>
  </si>
  <si>
    <t xml:space="preserve">ChallengeTests.test_submit_flag_1</t>
  </si>
  <si>
    <t xml:space="preserve">CHAL-02</t>
  </si>
  <si>
    <t xml:space="preserve">FL2</t>
  </si>
  <si>
    <t xml:space="preserve">Completely wrong text</t>
  </si>
  <si>
    <t xml:space="preserve">wrong</t>
  </si>
  <si>
    <t xml:space="preserve">Incorrect</t>
  </si>
  <si>
    <t xml:space="preserve">ChallengeTests.test_submit_flag_2</t>
  </si>
  <si>
    <t xml:space="preserve">CHAL-03</t>
  </si>
  <si>
    <t xml:space="preserve">FL3</t>
  </si>
  <si>
    <t xml:space="preserve">Correct text in wrong case</t>
  </si>
  <si>
    <t xml:space="preserve">FLAG{TEST123}</t>
  </si>
  <si>
    <t xml:space="preserve">ChallengeTests.test_submit_flag_3</t>
  </si>
  <si>
    <t xml:space="preserve">CHAL-04</t>
  </si>
  <si>
    <t xml:space="preserve">FL4</t>
  </si>
  <si>
    <t xml:space="preserve">Part of the flag (closing brace missing)</t>
  </si>
  <si>
    <t xml:space="preserve">flag{test123</t>
  </si>
  <si>
    <t xml:space="preserve">ChallengeTests.test_submit_flag_4</t>
  </si>
  <si>
    <t xml:space="preserve">CHAL-05</t>
  </si>
  <si>
    <t xml:space="preserve">FL5</t>
  </si>
  <si>
    <t xml:space="preserve">Flag with an extra character</t>
  </si>
  <si>
    <t xml:space="preserve">flag{test123}x</t>
  </si>
  <si>
    <t xml:space="preserve">ChallengeTests.test_submit_flag_5</t>
  </si>
  <si>
    <t xml:space="preserve">CHAL-06</t>
  </si>
  <si>
    <t xml:space="preserve">FL6</t>
  </si>
  <si>
    <t xml:space="preserve">Correct flag with spaces around it (spaces are trimmed)</t>
  </si>
  <si>
    <t xml:space="preserve">2 spaces + flag{test123} + 2 spaces</t>
  </si>
  <si>
    <t xml:space="preserve">ChallengeTests.test_submit_flag_6</t>
  </si>
  <si>
    <t xml:space="preserve">CHAL-07</t>
  </si>
  <si>
    <t xml:space="preserve">FL7</t>
  </si>
  <si>
    <t xml:space="preserve">Empty flag</t>
  </si>
  <si>
    <t xml:space="preserve">blank</t>
  </si>
  <si>
    <t xml:space="preserve">ChallengeTests.test_submit_flag_7</t>
  </si>
  <si>
    <t xml:space="preserve">CHAL-08</t>
  </si>
  <si>
    <t xml:space="preserve">FL8</t>
  </si>
  <si>
    <t xml:space="preserve">SQL-style text in the flag box</t>
  </si>
  <si>
    <t xml:space="preserve">' OR 1=1 --</t>
  </si>
  <si>
    <t xml:space="preserve">ChallengeTests.test_submit_flag_8</t>
  </si>
  <si>
    <t xml:space="preserve">CHAL-09</t>
  </si>
  <si>
    <t xml:space="preserve">FL9</t>
  </si>
  <si>
    <t xml:space="preserve">Very long flag (1000 characters)</t>
  </si>
  <si>
    <t xml:space="preserve">1000 x a</t>
  </si>
  <si>
    <t xml:space="preserve">ChallengeTests.test_submit_flag_9</t>
  </si>
  <si>
    <t xml:space="preserve">CHAL-10</t>
  </si>
  <si>
    <t xml:space="preserve">ST1</t>
  </si>
  <si>
    <t xml:space="preserve">Unsolved: wrong flag, then correct flag</t>
  </si>
  <si>
    <t xml:space="preserve">wrong, then flag{test123}</t>
  </si>
  <si>
    <t xml:space="preserve">Incorrect, then Correct</t>
  </si>
  <si>
    <t xml:space="preserve">ChallengeTests.test_wrong_then_correct</t>
  </si>
  <si>
    <t xml:space="preserve">CHAL-11</t>
  </si>
  <si>
    <t xml:space="preserve">ST2</t>
  </si>
  <si>
    <t xml:space="preserve">Solved: submit a wrong flag</t>
  </si>
  <si>
    <t xml:space="preserve">flag{test123}, then wrong</t>
  </si>
  <si>
    <t xml:space="preserve">Incorrect but you already solved this</t>
  </si>
  <si>
    <t xml:space="preserve">ChallengeTests.test_solved_then_wrong</t>
  </si>
  <si>
    <t xml:space="preserve">CHAL-12</t>
  </si>
  <si>
    <t xml:space="preserve">ST3</t>
  </si>
  <si>
    <t xml:space="preserve">Solved: submit the correct flag again</t>
  </si>
  <si>
    <t xml:space="preserve">flag{test123} twice</t>
  </si>
  <si>
    <t xml:space="preserve">Message says the challenge is already solved</t>
  </si>
  <si>
    <t xml:space="preserve">ChallengeTests.test_solved_then_correct_again</t>
  </si>
  <si>
    <t xml:space="preserve">SCORE-01</t>
  </si>
  <si>
    <t xml:space="preserve">Scoreboard</t>
  </si>
  <si>
    <t xml:space="preserve">SB1</t>
  </si>
  <si>
    <t xml:space="preserve">Scoreboard page opens for a logged in user</t>
  </si>
  <si>
    <t xml:space="preserve">open /scoreboard</t>
  </si>
  <si>
    <t xml:space="preserve">Page heading is Scoreboard</t>
  </si>
  <si>
    <t xml:space="preserve">ScoreboardTests.test_scoreboard_page_opens</t>
  </si>
  <si>
    <t xml:space="preserve">SCORE-02</t>
  </si>
  <si>
    <t xml:space="preserve">SB2</t>
  </si>
  <si>
    <t xml:space="preserve">Table has the Place column</t>
  </si>
  <si>
    <t xml:space="preserve">read table header</t>
  </si>
  <si>
    <t xml:space="preserve">Place column is present</t>
  </si>
  <si>
    <t xml:space="preserve">ScoreboardTests.test_table_has_column_1_Place</t>
  </si>
  <si>
    <t xml:space="preserve">SCORE-03</t>
  </si>
  <si>
    <t xml:space="preserve">Table has the User column</t>
  </si>
  <si>
    <t xml:space="preserve">User column is present</t>
  </si>
  <si>
    <t xml:space="preserve">ScoreboardTests.test_table_has_column_2_User</t>
  </si>
  <si>
    <t xml:space="preserve">SCORE-04</t>
  </si>
  <si>
    <t xml:space="preserve">Table has the Score column</t>
  </si>
  <si>
    <t xml:space="preserve">Score column is present</t>
  </si>
  <si>
    <t xml:space="preserve">ScoreboardTests.test_table_has_column_3_Score</t>
  </si>
  <si>
    <t xml:space="preserve">SCORE-05</t>
  </si>
  <si>
    <t xml:space="preserve">SB3</t>
  </si>
  <si>
    <t xml:space="preserve">User with 0 points is not listed</t>
  </si>
  <si>
    <t xml:space="preserve">new user, no solves</t>
  </si>
  <si>
    <t xml:space="preserve">User is not in the table</t>
  </si>
  <si>
    <t xml:space="preserve">ScoreboardTests.test_user_without_solves_is_not_listed</t>
  </si>
  <si>
    <t xml:space="preserve">SCORE-06</t>
  </si>
  <si>
    <t xml:space="preserve">SB4, SB5</t>
  </si>
  <si>
    <t xml:space="preserve">BVA / Use Case</t>
  </si>
  <si>
    <t xml:space="preserve">User who solved the 100 point challenge is listed</t>
  </si>
  <si>
    <t xml:space="preserve">new user solves Test Challenge</t>
  </si>
  <si>
    <t xml:space="preserve">User is listed with 100 points</t>
  </si>
  <si>
    <t xml:space="preserve">ScoreboardTests.test_user_appears_after_solving</t>
  </si>
  <si>
    <t xml:space="preserve">SCORE-07</t>
  </si>
  <si>
    <t xml:space="preserve">SB6</t>
  </si>
  <si>
    <t xml:space="preserve">Use Case</t>
  </si>
  <si>
    <t xml:space="preserve">Scores are ordered from highest to lowest</t>
  </si>
  <si>
    <t xml:space="preserve">read all rows</t>
  </si>
  <si>
    <t xml:space="preserve">Scores never go up from one row to the next</t>
  </si>
  <si>
    <t xml:space="preserve">ScoreboardTests.test_scores_are_in_descending_order</t>
  </si>
  <si>
    <t xml:space="preserve">SCORE-08</t>
  </si>
  <si>
    <t xml:space="preserve">SB7</t>
  </si>
  <si>
    <t xml:space="preserve">Places are numbered 1, 2, 3 with no gaps</t>
  </si>
  <si>
    <t xml:space="preserve">Places run 1 to n</t>
  </si>
  <si>
    <t xml:space="preserve">ScoreboardTests.test_places_are_numbered_from_one</t>
  </si>
  <si>
    <t xml:space="preserve">SCORE-09</t>
  </si>
  <si>
    <t xml:space="preserve">SB8</t>
  </si>
  <si>
    <t xml:space="preserve">Clicking a username opens that user's profile</t>
  </si>
  <si>
    <t xml:space="preserve">click own username in the table</t>
  </si>
  <si>
    <t xml:space="preserve">Profile page opens (URL has /users/)</t>
  </si>
  <si>
    <t xml:space="preserve">ScoreboardTests.test_username_link_opens_profile</t>
  </si>
  <si>
    <t xml:space="preserve">test_id</t>
  </si>
  <si>
    <t xml:space="preserve">username</t>
  </si>
  <si>
    <t xml:space="preserve">email</t>
  </si>
  <si>
    <t xml:space="preserve">password</t>
  </si>
  <si>
    <t xml:space="preserve">result</t>
  </si>
  <si>
    <t xml:space="preserve">messages</t>
  </si>
  <si>
    <t xml:space="preserve">user_{uid}</t>
  </si>
  <si>
    <t xml:space="preserve">u{uid}@test.com</t>
  </si>
  <si>
    <t xml:space="preserve">Pass@123</t>
  </si>
  <si>
    <t xml:space="preserve">created</t>
  </si>
  <si>
    <t xml:space="preserve">   </t>
  </si>
  <si>
    <t xml:space="preserve">rejected</t>
  </si>
  <si>
    <t xml:space="preserve">admin</t>
  </si>
  <si>
    <t xml:space="preserve">{uid}@b.com</t>
  </si>
  <si>
    <t xml:space="preserve">EC6a</t>
  </si>
  <si>
    <t xml:space="preserve">abc</t>
  </si>
  <si>
    <t xml:space="preserve">EC6b</t>
  </si>
  <si>
    <t xml:space="preserve">abc@</t>
  </si>
  <si>
    <t xml:space="preserve">admin@test.com</t>
  </si>
  <si>
    <t xml:space="preserve">{rc}</t>
  </si>
  <si>
    <t xml:space="preserve">{rc}{rc}</t>
  </si>
  <si>
    <t xml:space="preserve">a</t>
  </si>
  <si>
    <t xml:space="preserve">{a127}</t>
  </si>
  <si>
    <t xml:space="preserve">{a128}</t>
  </si>
  <si>
    <t xml:space="preserve">{a129}</t>
  </si>
  <si>
    <t xml:space="preserve">That user name is already taken|Pick a shorter password</t>
  </si>
  <si>
    <t xml:space="preserve">That email has already been used|Pick a shorter password</t>
  </si>
  <si>
    <t xml:space="preserve">That user name is already taken|That email has already been used|Pick a shorter password</t>
  </si>
  <si>
    <t xml:space="preserve">  user_{uid}  </t>
  </si>
  <si>
    <t xml:space="preserve">ADMIN@TEST.COM</t>
  </si>
  <si>
    <t xml:space="preserve">Copy of data/register_data.csv. The tests read the CSV file, not this sheet.</t>
  </si>
  <si>
    <t xml:space="preserve">message</t>
  </si>
  <si>
    <t xml:space="preserve">login_user</t>
  </si>
  <si>
    <t xml:space="preserve">Login@123</t>
  </si>
  <si>
    <t xml:space="preserve">logged_in</t>
  </si>
  <si>
    <t xml:space="preserve">login_user@test.com</t>
  </si>
  <si>
    <t xml:space="preserve">WrongPass1</t>
  </si>
  <si>
    <t xml:space="preserve">no_such_user_xyz</t>
  </si>
  <si>
    <t xml:space="preserve">Copy of data/login_data.csv. The tests read the CSV file, not this sheet.</t>
  </si>
  <si>
    <t xml:space="preserve">flag</t>
  </si>
  <si>
    <t xml:space="preserve">  flag{test123}  </t>
  </si>
  <si>
    <t xml:space="preserve">{a1000}</t>
  </si>
  <si>
    <t xml:space="preserve">Copy of data/flag_data.csv. The tests read the CSV file, not this sheet.</t>
  </si>
  <si>
    <t xml:space="preserve">CTFd Test Execution Summary</t>
  </si>
  <si>
    <t xml:space="preserve">Total</t>
  </si>
  <si>
    <t xml:space="preserve">Fail</t>
  </si>
  <si>
    <t xml:space="preserve">Not Run</t>
  </si>
  <si>
    <t xml:space="preserve">Pass Rate</t>
  </si>
  <si>
    <t xml:space="preserve">Notes</t>
  </si>
  <si>
    <t xml:space="preserve">Status values were taken from the full run on 18 Oct 2026: python run_tests.py --workers 3 --delay 0 (49 run, 0 failed).</t>
  </si>
  <si>
    <t xml:space="preserve">Change a value in the Status column of the Test Cases sheet and this table updates by itself.</t>
  </si>
  <si>
    <t xml:space="preserve">Status can be Pass, Fail or Not Run.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</si>
</sst>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4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6" min="5" style="0" width="44"/>
    <col collapsed="false" customWidth="true" hidden="false" outlineLevel="0" max="7" min="7" style="0" width="40"/>
    <col collapsed="false" customWidth="true" hidden="false" outlineLevel="0" max="8" min="8" style="0" width="22"/>
    <col collapsed="false" customWidth="true" hidden="false" outlineLevel="0" max="9" min="9" style="0" width="42"/>
    <col collapsed="false" customWidth="true" hidden="false" outlineLevel="0" max="10" min="10" style="0" width="9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12</v>
      </c>
      <c r="I2" s="2" t="s">
        <v>17</v>
      </c>
      <c r="J2" s="2" t="s">
        <v>18</v>
      </c>
    </row>
    <row r="3" customFormat="false" ht="15" hidden="false" customHeight="false" outlineLevel="0" collapsed="false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18</v>
      </c>
    </row>
    <row r="4" customFormat="false" ht="15" hidden="false" customHeight="false" outlineLevel="0" collapsed="false">
      <c r="A4" s="2" t="s">
        <v>28</v>
      </c>
      <c r="B4" s="2" t="s">
        <v>20</v>
      </c>
      <c r="C4" s="2" t="s">
        <v>29</v>
      </c>
      <c r="D4" s="2" t="s">
        <v>22</v>
      </c>
      <c r="E4" s="2" t="s">
        <v>30</v>
      </c>
      <c r="F4" s="2" t="s">
        <v>31</v>
      </c>
      <c r="G4" s="2" t="s">
        <v>32</v>
      </c>
      <c r="H4" s="2" t="s">
        <v>26</v>
      </c>
      <c r="I4" s="2" t="s">
        <v>33</v>
      </c>
      <c r="J4" s="2" t="s">
        <v>18</v>
      </c>
    </row>
    <row r="5" customFormat="false" ht="15" hidden="false" customHeight="false" outlineLevel="0" collapsed="false">
      <c r="A5" s="2" t="s">
        <v>34</v>
      </c>
      <c r="B5" s="2" t="s">
        <v>20</v>
      </c>
      <c r="C5" s="2" t="s">
        <v>35</v>
      </c>
      <c r="D5" s="2" t="s">
        <v>22</v>
      </c>
      <c r="E5" s="2" t="s">
        <v>36</v>
      </c>
      <c r="F5" s="2" t="s">
        <v>37</v>
      </c>
      <c r="G5" s="2" t="s">
        <v>38</v>
      </c>
      <c r="H5" s="2" t="s">
        <v>26</v>
      </c>
      <c r="I5" s="2" t="s">
        <v>39</v>
      </c>
      <c r="J5" s="2" t="s">
        <v>18</v>
      </c>
    </row>
    <row r="6" customFormat="false" ht="15" hidden="false" customHeight="false" outlineLevel="0" collapsed="false">
      <c r="A6" s="2" t="s">
        <v>40</v>
      </c>
      <c r="B6" s="2" t="s">
        <v>20</v>
      </c>
      <c r="C6" s="2" t="s">
        <v>41</v>
      </c>
      <c r="D6" s="2" t="s">
        <v>22</v>
      </c>
      <c r="E6" s="2" t="s">
        <v>42</v>
      </c>
      <c r="F6" s="2" t="s">
        <v>43</v>
      </c>
      <c r="G6" s="2" t="s">
        <v>44</v>
      </c>
      <c r="H6" s="2" t="s">
        <v>26</v>
      </c>
      <c r="I6" s="2" t="s">
        <v>45</v>
      </c>
      <c r="J6" s="2" t="s">
        <v>18</v>
      </c>
    </row>
    <row r="7" customFormat="false" ht="15" hidden="false" customHeight="false" outlineLevel="0" collapsed="false">
      <c r="A7" s="2" t="s">
        <v>46</v>
      </c>
      <c r="B7" s="2" t="s">
        <v>20</v>
      </c>
      <c r="C7" s="2" t="s">
        <v>47</v>
      </c>
      <c r="D7" s="2" t="s">
        <v>22</v>
      </c>
      <c r="E7" s="2" t="s">
        <v>48</v>
      </c>
      <c r="F7" s="2" t="s">
        <v>49</v>
      </c>
      <c r="G7" s="2" t="s">
        <v>50</v>
      </c>
      <c r="H7" s="2" t="s">
        <v>26</v>
      </c>
      <c r="I7" s="2" t="s">
        <v>51</v>
      </c>
      <c r="J7" s="2" t="s">
        <v>18</v>
      </c>
    </row>
    <row r="8" customFormat="false" ht="15" hidden="false" customHeight="false" outlineLevel="0" collapsed="false">
      <c r="A8" s="2" t="s">
        <v>52</v>
      </c>
      <c r="B8" s="2" t="s">
        <v>20</v>
      </c>
      <c r="C8" s="2" t="s">
        <v>47</v>
      </c>
      <c r="D8" s="2" t="s">
        <v>22</v>
      </c>
      <c r="E8" s="2" t="s">
        <v>53</v>
      </c>
      <c r="F8" s="2" t="s">
        <v>54</v>
      </c>
      <c r="G8" s="2" t="s">
        <v>50</v>
      </c>
      <c r="H8" s="2" t="s">
        <v>26</v>
      </c>
      <c r="I8" s="2" t="s">
        <v>55</v>
      </c>
      <c r="J8" s="2" t="s">
        <v>18</v>
      </c>
    </row>
    <row r="9" customFormat="false" ht="15" hidden="false" customHeight="false" outlineLevel="0" collapsed="false">
      <c r="A9" s="2" t="s">
        <v>56</v>
      </c>
      <c r="B9" s="2" t="s">
        <v>20</v>
      </c>
      <c r="C9" s="2" t="s">
        <v>57</v>
      </c>
      <c r="D9" s="2" t="s">
        <v>22</v>
      </c>
      <c r="E9" s="2" t="s">
        <v>58</v>
      </c>
      <c r="F9" s="2" t="s">
        <v>59</v>
      </c>
      <c r="G9" s="2" t="s">
        <v>60</v>
      </c>
      <c r="H9" s="2" t="s">
        <v>26</v>
      </c>
      <c r="I9" s="2" t="s">
        <v>61</v>
      </c>
      <c r="J9" s="2" t="s">
        <v>18</v>
      </c>
    </row>
    <row r="10" customFormat="false" ht="15" hidden="false" customHeight="false" outlineLevel="0" collapsed="false">
      <c r="A10" s="2" t="s">
        <v>62</v>
      </c>
      <c r="B10" s="2" t="s">
        <v>20</v>
      </c>
      <c r="C10" s="2" t="s">
        <v>63</v>
      </c>
      <c r="D10" s="2" t="s">
        <v>22</v>
      </c>
      <c r="E10" s="2" t="s">
        <v>64</v>
      </c>
      <c r="F10" s="2" t="s">
        <v>65</v>
      </c>
      <c r="G10" s="2" t="s">
        <v>66</v>
      </c>
      <c r="H10" s="2" t="s">
        <v>26</v>
      </c>
      <c r="I10" s="2" t="s">
        <v>67</v>
      </c>
      <c r="J10" s="2" t="s">
        <v>18</v>
      </c>
    </row>
    <row r="11" customFormat="false" ht="15" hidden="false" customHeight="false" outlineLevel="0" collapsed="false">
      <c r="A11" s="2" t="s">
        <v>68</v>
      </c>
      <c r="B11" s="2" t="s">
        <v>20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73</v>
      </c>
      <c r="H11" s="2" t="s">
        <v>26</v>
      </c>
      <c r="I11" s="2" t="s">
        <v>74</v>
      </c>
      <c r="J11" s="2" t="s">
        <v>18</v>
      </c>
    </row>
    <row r="12" customFormat="false" ht="15" hidden="false" customHeight="false" outlineLevel="0" collapsed="false">
      <c r="A12" s="2" t="s">
        <v>75</v>
      </c>
      <c r="B12" s="2" t="s">
        <v>20</v>
      </c>
      <c r="C12" s="2" t="s">
        <v>76</v>
      </c>
      <c r="D12" s="2" t="s">
        <v>70</v>
      </c>
      <c r="E12" s="2" t="s">
        <v>77</v>
      </c>
      <c r="F12" s="2" t="s">
        <v>78</v>
      </c>
      <c r="G12" s="2" t="s">
        <v>79</v>
      </c>
      <c r="H12" s="2" t="s">
        <v>26</v>
      </c>
      <c r="I12" s="2" t="s">
        <v>80</v>
      </c>
      <c r="J12" s="2" t="s">
        <v>18</v>
      </c>
    </row>
    <row r="13" customFormat="false" ht="15" hidden="false" customHeight="false" outlineLevel="0" collapsed="false">
      <c r="A13" s="2" t="s">
        <v>81</v>
      </c>
      <c r="B13" s="2" t="s">
        <v>20</v>
      </c>
      <c r="C13" s="2" t="s">
        <v>82</v>
      </c>
      <c r="D13" s="2" t="s">
        <v>70</v>
      </c>
      <c r="E13" s="2" t="s">
        <v>83</v>
      </c>
      <c r="F13" s="2" t="s">
        <v>84</v>
      </c>
      <c r="G13" s="2" t="s">
        <v>79</v>
      </c>
      <c r="H13" s="2" t="s">
        <v>26</v>
      </c>
      <c r="I13" s="2" t="s">
        <v>85</v>
      </c>
      <c r="J13" s="2" t="s">
        <v>18</v>
      </c>
    </row>
    <row r="14" customFormat="false" ht="15" hidden="false" customHeight="false" outlineLevel="0" collapsed="false">
      <c r="A14" s="2" t="s">
        <v>86</v>
      </c>
      <c r="B14" s="2" t="s">
        <v>20</v>
      </c>
      <c r="C14" s="2" t="s">
        <v>87</v>
      </c>
      <c r="D14" s="2" t="s">
        <v>70</v>
      </c>
      <c r="E14" s="2" t="s">
        <v>88</v>
      </c>
      <c r="F14" s="2" t="s">
        <v>89</v>
      </c>
      <c r="G14" s="2" t="s">
        <v>73</v>
      </c>
      <c r="H14" s="2" t="s">
        <v>26</v>
      </c>
      <c r="I14" s="2" t="s">
        <v>90</v>
      </c>
      <c r="J14" s="2" t="s">
        <v>18</v>
      </c>
    </row>
    <row r="15" customFormat="false" ht="15" hidden="false" customHeight="false" outlineLevel="0" collapsed="false">
      <c r="A15" s="2" t="s">
        <v>91</v>
      </c>
      <c r="B15" s="2" t="s">
        <v>20</v>
      </c>
      <c r="C15" s="2" t="s">
        <v>92</v>
      </c>
      <c r="D15" s="2" t="s">
        <v>70</v>
      </c>
      <c r="E15" s="2" t="s">
        <v>93</v>
      </c>
      <c r="F15" s="2" t="s">
        <v>94</v>
      </c>
      <c r="G15" s="2" t="s">
        <v>79</v>
      </c>
      <c r="H15" s="2" t="s">
        <v>26</v>
      </c>
      <c r="I15" s="2" t="s">
        <v>95</v>
      </c>
      <c r="J15" s="2" t="s">
        <v>18</v>
      </c>
    </row>
    <row r="16" customFormat="false" ht="15" hidden="false" customHeight="false" outlineLevel="0" collapsed="false">
      <c r="A16" s="2" t="s">
        <v>96</v>
      </c>
      <c r="B16" s="2" t="s">
        <v>20</v>
      </c>
      <c r="C16" s="2" t="s">
        <v>97</v>
      </c>
      <c r="D16" s="2" t="s">
        <v>70</v>
      </c>
      <c r="E16" s="2" t="s">
        <v>98</v>
      </c>
      <c r="F16" s="2" t="s">
        <v>99</v>
      </c>
      <c r="G16" s="2" t="s">
        <v>79</v>
      </c>
      <c r="H16" s="2" t="s">
        <v>26</v>
      </c>
      <c r="I16" s="2" t="s">
        <v>100</v>
      </c>
      <c r="J16" s="2" t="s">
        <v>18</v>
      </c>
    </row>
    <row r="17" customFormat="false" ht="15" hidden="false" customHeight="false" outlineLevel="0" collapsed="false">
      <c r="A17" s="2" t="s">
        <v>101</v>
      </c>
      <c r="B17" s="2" t="s">
        <v>20</v>
      </c>
      <c r="C17" s="2" t="s">
        <v>102</v>
      </c>
      <c r="D17" s="2" t="s">
        <v>70</v>
      </c>
      <c r="E17" s="2" t="s">
        <v>103</v>
      </c>
      <c r="F17" s="2" t="s">
        <v>104</v>
      </c>
      <c r="G17" s="2" t="s">
        <v>79</v>
      </c>
      <c r="H17" s="2" t="s">
        <v>26</v>
      </c>
      <c r="I17" s="2" t="s">
        <v>105</v>
      </c>
      <c r="J17" s="2" t="s">
        <v>18</v>
      </c>
    </row>
    <row r="18" customFormat="false" ht="15" hidden="false" customHeight="false" outlineLevel="0" collapsed="false">
      <c r="A18" s="2" t="s">
        <v>106</v>
      </c>
      <c r="B18" s="2" t="s">
        <v>20</v>
      </c>
      <c r="C18" s="2" t="s">
        <v>107</v>
      </c>
      <c r="D18" s="2" t="s">
        <v>70</v>
      </c>
      <c r="E18" s="2" t="s">
        <v>108</v>
      </c>
      <c r="F18" s="2" t="s">
        <v>109</v>
      </c>
      <c r="G18" s="2" t="s">
        <v>110</v>
      </c>
      <c r="H18" s="2" t="s">
        <v>26</v>
      </c>
      <c r="I18" s="2" t="s">
        <v>111</v>
      </c>
      <c r="J18" s="2" t="s">
        <v>18</v>
      </c>
    </row>
    <row r="19" customFormat="false" ht="15" hidden="false" customHeight="false" outlineLevel="0" collapsed="false">
      <c r="A19" s="2" t="s">
        <v>112</v>
      </c>
      <c r="B19" s="2" t="s">
        <v>20</v>
      </c>
      <c r="C19" s="2" t="s">
        <v>113</v>
      </c>
      <c r="D19" s="2" t="s">
        <v>114</v>
      </c>
      <c r="E19" s="2" t="s">
        <v>115</v>
      </c>
      <c r="F19" s="2" t="s">
        <v>116</v>
      </c>
      <c r="G19" s="2" t="s">
        <v>117</v>
      </c>
      <c r="H19" s="2" t="s">
        <v>26</v>
      </c>
      <c r="I19" s="2" t="s">
        <v>118</v>
      </c>
      <c r="J19" s="2" t="s">
        <v>18</v>
      </c>
    </row>
    <row r="20" customFormat="false" ht="15" hidden="false" customHeight="false" outlineLevel="0" collapsed="false">
      <c r="A20" s="2" t="s">
        <v>119</v>
      </c>
      <c r="B20" s="2" t="s">
        <v>20</v>
      </c>
      <c r="C20" s="2" t="s">
        <v>120</v>
      </c>
      <c r="D20" s="2" t="s">
        <v>114</v>
      </c>
      <c r="E20" s="2" t="s">
        <v>121</v>
      </c>
      <c r="F20" s="2" t="s">
        <v>122</v>
      </c>
      <c r="G20" s="2" t="s">
        <v>123</v>
      </c>
      <c r="H20" s="2" t="s">
        <v>26</v>
      </c>
      <c r="I20" s="2" t="s">
        <v>124</v>
      </c>
      <c r="J20" s="2" t="s">
        <v>18</v>
      </c>
    </row>
    <row r="21" customFormat="false" ht="15" hidden="false" customHeight="false" outlineLevel="0" collapsed="false">
      <c r="A21" s="2" t="s">
        <v>125</v>
      </c>
      <c r="B21" s="2" t="s">
        <v>20</v>
      </c>
      <c r="C21" s="2" t="s">
        <v>126</v>
      </c>
      <c r="D21" s="2" t="s">
        <v>114</v>
      </c>
      <c r="E21" s="2" t="s">
        <v>127</v>
      </c>
      <c r="F21" s="2" t="s">
        <v>128</v>
      </c>
      <c r="G21" s="2" t="s">
        <v>129</v>
      </c>
      <c r="H21" s="2" t="s">
        <v>26</v>
      </c>
      <c r="I21" s="2" t="s">
        <v>130</v>
      </c>
      <c r="J21" s="2" t="s">
        <v>18</v>
      </c>
    </row>
    <row r="22" customFormat="false" ht="23.85" hidden="false" customHeight="false" outlineLevel="0" collapsed="false">
      <c r="A22" s="2" t="s">
        <v>131</v>
      </c>
      <c r="B22" s="2" t="s">
        <v>20</v>
      </c>
      <c r="C22" s="2" t="s">
        <v>132</v>
      </c>
      <c r="D22" s="2" t="s">
        <v>133</v>
      </c>
      <c r="E22" s="2" t="s">
        <v>134</v>
      </c>
      <c r="F22" s="2" t="s">
        <v>135</v>
      </c>
      <c r="G22" s="2" t="s">
        <v>79</v>
      </c>
      <c r="H22" s="2" t="s">
        <v>26</v>
      </c>
      <c r="I22" s="2" t="s">
        <v>136</v>
      </c>
      <c r="J22" s="2" t="s">
        <v>18</v>
      </c>
    </row>
    <row r="23" customFormat="false" ht="15" hidden="false" customHeight="false" outlineLevel="0" collapsed="false">
      <c r="A23" s="2" t="s">
        <v>137</v>
      </c>
      <c r="B23" s="2" t="s">
        <v>20</v>
      </c>
      <c r="C23" s="2" t="s">
        <v>138</v>
      </c>
      <c r="D23" s="2" t="s">
        <v>133</v>
      </c>
      <c r="E23" s="2" t="s">
        <v>139</v>
      </c>
      <c r="F23" s="2" t="s">
        <v>140</v>
      </c>
      <c r="G23" s="2" t="s">
        <v>60</v>
      </c>
      <c r="H23" s="2" t="s">
        <v>26</v>
      </c>
      <c r="I23" s="2" t="s">
        <v>141</v>
      </c>
      <c r="J23" s="2" t="s">
        <v>18</v>
      </c>
    </row>
    <row r="24" customFormat="false" ht="15" hidden="false" customHeight="false" outlineLevel="0" collapsed="false">
      <c r="A24" s="2" t="s">
        <v>142</v>
      </c>
      <c r="B24" s="2" t="s">
        <v>20</v>
      </c>
      <c r="C24" s="2" t="s">
        <v>143</v>
      </c>
      <c r="D24" s="2" t="s">
        <v>22</v>
      </c>
      <c r="E24" s="2" t="s">
        <v>144</v>
      </c>
      <c r="F24" s="2" t="s">
        <v>145</v>
      </c>
      <c r="G24" s="2" t="s">
        <v>146</v>
      </c>
      <c r="H24" s="2" t="s">
        <v>147</v>
      </c>
      <c r="I24" s="2" t="s">
        <v>148</v>
      </c>
      <c r="J24" s="2" t="s">
        <v>18</v>
      </c>
    </row>
    <row r="25" customFormat="false" ht="15" hidden="false" customHeight="false" outlineLevel="0" collapsed="false">
      <c r="A25" s="2" t="s">
        <v>149</v>
      </c>
      <c r="B25" s="2" t="s">
        <v>20</v>
      </c>
      <c r="C25" s="2" t="s">
        <v>150</v>
      </c>
      <c r="D25" s="2" t="s">
        <v>22</v>
      </c>
      <c r="E25" s="2" t="s">
        <v>151</v>
      </c>
      <c r="F25" s="2" t="s">
        <v>152</v>
      </c>
      <c r="G25" s="2" t="s">
        <v>146</v>
      </c>
      <c r="H25" s="2" t="s">
        <v>147</v>
      </c>
      <c r="I25" s="2" t="s">
        <v>153</v>
      </c>
      <c r="J25" s="2" t="s">
        <v>18</v>
      </c>
    </row>
    <row r="26" customFormat="false" ht="15" hidden="false" customHeight="false" outlineLevel="0" collapsed="false">
      <c r="A26" s="2" t="s">
        <v>154</v>
      </c>
      <c r="B26" s="2" t="s">
        <v>20</v>
      </c>
      <c r="C26" s="2" t="s">
        <v>155</v>
      </c>
      <c r="D26" s="2" t="s">
        <v>22</v>
      </c>
      <c r="E26" s="2" t="s">
        <v>156</v>
      </c>
      <c r="F26" s="2" t="s">
        <v>157</v>
      </c>
      <c r="G26" s="2" t="s">
        <v>158</v>
      </c>
      <c r="H26" s="2" t="s">
        <v>147</v>
      </c>
      <c r="I26" s="2" t="s">
        <v>159</v>
      </c>
      <c r="J26" s="2" t="s">
        <v>18</v>
      </c>
    </row>
    <row r="27" customFormat="false" ht="15" hidden="false" customHeight="false" outlineLevel="0" collapsed="false">
      <c r="A27" s="2" t="s">
        <v>160</v>
      </c>
      <c r="B27" s="2" t="s">
        <v>20</v>
      </c>
      <c r="C27" s="2" t="s">
        <v>161</v>
      </c>
      <c r="D27" s="2" t="s">
        <v>22</v>
      </c>
      <c r="E27" s="2" t="s">
        <v>162</v>
      </c>
      <c r="F27" s="2" t="s">
        <v>163</v>
      </c>
      <c r="G27" s="2" t="s">
        <v>158</v>
      </c>
      <c r="H27" s="2" t="s">
        <v>147</v>
      </c>
      <c r="I27" s="2" t="s">
        <v>164</v>
      </c>
      <c r="J27" s="2" t="s">
        <v>18</v>
      </c>
    </row>
    <row r="28" customFormat="false" ht="15" hidden="false" customHeight="false" outlineLevel="0" collapsed="false">
      <c r="A28" s="2" t="s">
        <v>165</v>
      </c>
      <c r="B28" s="2" t="s">
        <v>20</v>
      </c>
      <c r="C28" s="2" t="s">
        <v>166</v>
      </c>
      <c r="D28" s="2" t="s">
        <v>22</v>
      </c>
      <c r="E28" s="2" t="s">
        <v>167</v>
      </c>
      <c r="F28" s="2" t="s">
        <v>168</v>
      </c>
      <c r="G28" s="2" t="s">
        <v>169</v>
      </c>
      <c r="H28" s="2" t="s">
        <v>147</v>
      </c>
      <c r="I28" s="2" t="s">
        <v>170</v>
      </c>
      <c r="J28" s="2" t="s">
        <v>18</v>
      </c>
    </row>
    <row r="29" customFormat="false" ht="15" hidden="false" customHeight="false" outlineLevel="0" collapsed="false">
      <c r="A29" s="2" t="s">
        <v>171</v>
      </c>
      <c r="B29" s="2" t="s">
        <v>20</v>
      </c>
      <c r="C29" s="2" t="s">
        <v>172</v>
      </c>
      <c r="D29" s="2" t="s">
        <v>173</v>
      </c>
      <c r="E29" s="2" t="s">
        <v>174</v>
      </c>
      <c r="F29" s="2" t="s">
        <v>175</v>
      </c>
      <c r="G29" s="2" t="s">
        <v>176</v>
      </c>
      <c r="H29" s="2" t="s">
        <v>12</v>
      </c>
      <c r="I29" s="2" t="s">
        <v>177</v>
      </c>
      <c r="J29" s="2" t="s">
        <v>18</v>
      </c>
    </row>
    <row r="30" customFormat="false" ht="15" hidden="false" customHeight="false" outlineLevel="0" collapsed="false">
      <c r="A30" s="2" t="s">
        <v>178</v>
      </c>
      <c r="B30" s="2" t="s">
        <v>179</v>
      </c>
      <c r="C30" s="2" t="s">
        <v>180</v>
      </c>
      <c r="D30" s="2" t="s">
        <v>22</v>
      </c>
      <c r="E30" s="2" t="s">
        <v>181</v>
      </c>
      <c r="F30" s="2" t="s">
        <v>182</v>
      </c>
      <c r="G30" s="2" t="s">
        <v>183</v>
      </c>
      <c r="H30" s="2" t="s">
        <v>184</v>
      </c>
      <c r="I30" s="2" t="s">
        <v>185</v>
      </c>
      <c r="J30" s="2" t="s">
        <v>18</v>
      </c>
    </row>
    <row r="31" customFormat="false" ht="15" hidden="false" customHeight="false" outlineLevel="0" collapsed="false">
      <c r="A31" s="2" t="s">
        <v>186</v>
      </c>
      <c r="B31" s="2" t="s">
        <v>179</v>
      </c>
      <c r="C31" s="2" t="s">
        <v>187</v>
      </c>
      <c r="D31" s="2" t="s">
        <v>22</v>
      </c>
      <c r="E31" s="2" t="s">
        <v>188</v>
      </c>
      <c r="F31" s="2" t="s">
        <v>189</v>
      </c>
      <c r="G31" s="2" t="s">
        <v>190</v>
      </c>
      <c r="H31" s="2" t="s">
        <v>184</v>
      </c>
      <c r="I31" s="2" t="s">
        <v>191</v>
      </c>
      <c r="J31" s="2" t="s">
        <v>18</v>
      </c>
    </row>
    <row r="32" customFormat="false" ht="15" hidden="false" customHeight="false" outlineLevel="0" collapsed="false">
      <c r="A32" s="2" t="s">
        <v>192</v>
      </c>
      <c r="B32" s="2" t="s">
        <v>179</v>
      </c>
      <c r="C32" s="2" t="s">
        <v>193</v>
      </c>
      <c r="D32" s="2" t="s">
        <v>22</v>
      </c>
      <c r="E32" s="2" t="s">
        <v>194</v>
      </c>
      <c r="F32" s="2" t="s">
        <v>195</v>
      </c>
      <c r="G32" s="2" t="s">
        <v>190</v>
      </c>
      <c r="H32" s="2" t="s">
        <v>184</v>
      </c>
      <c r="I32" s="2" t="s">
        <v>196</v>
      </c>
      <c r="J32" s="2" t="s">
        <v>18</v>
      </c>
    </row>
    <row r="33" customFormat="false" ht="15" hidden="false" customHeight="false" outlineLevel="0" collapsed="false">
      <c r="A33" s="2" t="s">
        <v>197</v>
      </c>
      <c r="B33" s="2" t="s">
        <v>179</v>
      </c>
      <c r="C33" s="2" t="s">
        <v>198</v>
      </c>
      <c r="D33" s="2" t="s">
        <v>22</v>
      </c>
      <c r="E33" s="2" t="s">
        <v>199</v>
      </c>
      <c r="F33" s="2" t="s">
        <v>200</v>
      </c>
      <c r="G33" s="2" t="s">
        <v>190</v>
      </c>
      <c r="H33" s="2" t="s">
        <v>184</v>
      </c>
      <c r="I33" s="2" t="s">
        <v>201</v>
      </c>
      <c r="J33" s="2" t="s">
        <v>18</v>
      </c>
    </row>
    <row r="34" customFormat="false" ht="15" hidden="false" customHeight="false" outlineLevel="0" collapsed="false">
      <c r="A34" s="2" t="s">
        <v>202</v>
      </c>
      <c r="B34" s="2" t="s">
        <v>179</v>
      </c>
      <c r="C34" s="2" t="s">
        <v>203</v>
      </c>
      <c r="D34" s="2" t="s">
        <v>22</v>
      </c>
      <c r="E34" s="2" t="s">
        <v>204</v>
      </c>
      <c r="F34" s="2" t="s">
        <v>205</v>
      </c>
      <c r="G34" s="2" t="s">
        <v>190</v>
      </c>
      <c r="H34" s="2" t="s">
        <v>184</v>
      </c>
      <c r="I34" s="2" t="s">
        <v>206</v>
      </c>
      <c r="J34" s="2" t="s">
        <v>18</v>
      </c>
    </row>
    <row r="35" customFormat="false" ht="23.85" hidden="false" customHeight="false" outlineLevel="0" collapsed="false">
      <c r="A35" s="2" t="s">
        <v>207</v>
      </c>
      <c r="B35" s="2" t="s">
        <v>179</v>
      </c>
      <c r="C35" s="2" t="s">
        <v>208</v>
      </c>
      <c r="D35" s="2" t="s">
        <v>22</v>
      </c>
      <c r="E35" s="2" t="s">
        <v>209</v>
      </c>
      <c r="F35" s="2" t="s">
        <v>210</v>
      </c>
      <c r="G35" s="2" t="s">
        <v>183</v>
      </c>
      <c r="H35" s="2" t="s">
        <v>184</v>
      </c>
      <c r="I35" s="2" t="s">
        <v>211</v>
      </c>
      <c r="J35" s="2" t="s">
        <v>18</v>
      </c>
    </row>
    <row r="36" customFormat="false" ht="15" hidden="false" customHeight="false" outlineLevel="0" collapsed="false">
      <c r="A36" s="2" t="s">
        <v>212</v>
      </c>
      <c r="B36" s="2" t="s">
        <v>179</v>
      </c>
      <c r="C36" s="2" t="s">
        <v>213</v>
      </c>
      <c r="D36" s="2" t="s">
        <v>22</v>
      </c>
      <c r="E36" s="2" t="s">
        <v>214</v>
      </c>
      <c r="F36" s="2" t="s">
        <v>215</v>
      </c>
      <c r="G36" s="2" t="s">
        <v>190</v>
      </c>
      <c r="H36" s="2" t="s">
        <v>184</v>
      </c>
      <c r="I36" s="2" t="s">
        <v>216</v>
      </c>
      <c r="J36" s="2" t="s">
        <v>18</v>
      </c>
    </row>
    <row r="37" customFormat="false" ht="15" hidden="false" customHeight="false" outlineLevel="0" collapsed="false">
      <c r="A37" s="2" t="s">
        <v>217</v>
      </c>
      <c r="B37" s="2" t="s">
        <v>179</v>
      </c>
      <c r="C37" s="2" t="s">
        <v>218</v>
      </c>
      <c r="D37" s="2" t="s">
        <v>133</v>
      </c>
      <c r="E37" s="2" t="s">
        <v>219</v>
      </c>
      <c r="F37" s="2" t="s">
        <v>220</v>
      </c>
      <c r="G37" s="2" t="s">
        <v>190</v>
      </c>
      <c r="H37" s="2" t="s">
        <v>184</v>
      </c>
      <c r="I37" s="2" t="s">
        <v>221</v>
      </c>
      <c r="J37" s="2" t="s">
        <v>18</v>
      </c>
    </row>
    <row r="38" customFormat="false" ht="15" hidden="false" customHeight="false" outlineLevel="0" collapsed="false">
      <c r="A38" s="2" t="s">
        <v>222</v>
      </c>
      <c r="B38" s="2" t="s">
        <v>179</v>
      </c>
      <c r="C38" s="2" t="s">
        <v>223</v>
      </c>
      <c r="D38" s="2" t="s">
        <v>133</v>
      </c>
      <c r="E38" s="2" t="s">
        <v>224</v>
      </c>
      <c r="F38" s="2" t="s">
        <v>225</v>
      </c>
      <c r="G38" s="2" t="s">
        <v>190</v>
      </c>
      <c r="H38" s="2" t="s">
        <v>184</v>
      </c>
      <c r="I38" s="2" t="s">
        <v>226</v>
      </c>
      <c r="J38" s="2" t="s">
        <v>18</v>
      </c>
    </row>
    <row r="39" customFormat="false" ht="15" hidden="false" customHeight="false" outlineLevel="0" collapsed="false">
      <c r="A39" s="2" t="s">
        <v>227</v>
      </c>
      <c r="B39" s="2" t="s">
        <v>179</v>
      </c>
      <c r="C39" s="2" t="s">
        <v>228</v>
      </c>
      <c r="D39" s="2" t="s">
        <v>173</v>
      </c>
      <c r="E39" s="2" t="s">
        <v>229</v>
      </c>
      <c r="F39" s="2" t="s">
        <v>230</v>
      </c>
      <c r="G39" s="2" t="s">
        <v>231</v>
      </c>
      <c r="H39" s="2" t="s">
        <v>12</v>
      </c>
      <c r="I39" s="2" t="s">
        <v>232</v>
      </c>
      <c r="J39" s="2" t="s">
        <v>18</v>
      </c>
    </row>
    <row r="40" customFormat="false" ht="15" hidden="false" customHeight="false" outlineLevel="0" collapsed="false">
      <c r="A40" s="2" t="s">
        <v>233</v>
      </c>
      <c r="B40" s="2" t="s">
        <v>179</v>
      </c>
      <c r="C40" s="2" t="s">
        <v>234</v>
      </c>
      <c r="D40" s="2" t="s">
        <v>173</v>
      </c>
      <c r="E40" s="2" t="s">
        <v>235</v>
      </c>
      <c r="F40" s="2" t="s">
        <v>236</v>
      </c>
      <c r="G40" s="2" t="s">
        <v>237</v>
      </c>
      <c r="H40" s="2" t="s">
        <v>12</v>
      </c>
      <c r="I40" s="2" t="s">
        <v>238</v>
      </c>
      <c r="J40" s="2" t="s">
        <v>18</v>
      </c>
    </row>
    <row r="41" customFormat="false" ht="15" hidden="false" customHeight="false" outlineLevel="0" collapsed="false">
      <c r="A41" s="2" t="s">
        <v>239</v>
      </c>
      <c r="B41" s="2" t="s">
        <v>179</v>
      </c>
      <c r="C41" s="2" t="s">
        <v>240</v>
      </c>
      <c r="D41" s="2" t="s">
        <v>173</v>
      </c>
      <c r="E41" s="2" t="s">
        <v>241</v>
      </c>
      <c r="F41" s="2" t="s">
        <v>242</v>
      </c>
      <c r="G41" s="2" t="s">
        <v>243</v>
      </c>
      <c r="H41" s="2" t="s">
        <v>12</v>
      </c>
      <c r="I41" s="2" t="s">
        <v>244</v>
      </c>
      <c r="J41" s="2" t="s">
        <v>18</v>
      </c>
    </row>
    <row r="42" customFormat="false" ht="15" hidden="false" customHeight="false" outlineLevel="0" collapsed="false">
      <c r="A42" s="2" t="s">
        <v>245</v>
      </c>
      <c r="B42" s="2" t="s">
        <v>246</v>
      </c>
      <c r="C42" s="2" t="s">
        <v>247</v>
      </c>
      <c r="D42" s="2" t="s">
        <v>22</v>
      </c>
      <c r="E42" s="2" t="s">
        <v>248</v>
      </c>
      <c r="F42" s="2" t="s">
        <v>249</v>
      </c>
      <c r="G42" s="2" t="s">
        <v>250</v>
      </c>
      <c r="H42" s="2" t="s">
        <v>12</v>
      </c>
      <c r="I42" s="2" t="s">
        <v>251</v>
      </c>
      <c r="J42" s="2" t="s">
        <v>18</v>
      </c>
    </row>
    <row r="43" customFormat="false" ht="15" hidden="false" customHeight="false" outlineLevel="0" collapsed="false">
      <c r="A43" s="2" t="s">
        <v>252</v>
      </c>
      <c r="B43" s="2" t="s">
        <v>246</v>
      </c>
      <c r="C43" s="2" t="s">
        <v>253</v>
      </c>
      <c r="D43" s="2" t="s">
        <v>22</v>
      </c>
      <c r="E43" s="2" t="s">
        <v>254</v>
      </c>
      <c r="F43" s="2" t="s">
        <v>255</v>
      </c>
      <c r="G43" s="2" t="s">
        <v>256</v>
      </c>
      <c r="H43" s="2" t="s">
        <v>12</v>
      </c>
      <c r="I43" s="2" t="s">
        <v>257</v>
      </c>
      <c r="J43" s="2" t="s">
        <v>18</v>
      </c>
    </row>
    <row r="44" customFormat="false" ht="15" hidden="false" customHeight="false" outlineLevel="0" collapsed="false">
      <c r="A44" s="2" t="s">
        <v>258</v>
      </c>
      <c r="B44" s="2" t="s">
        <v>246</v>
      </c>
      <c r="C44" s="2" t="s">
        <v>253</v>
      </c>
      <c r="D44" s="2" t="s">
        <v>22</v>
      </c>
      <c r="E44" s="2" t="s">
        <v>259</v>
      </c>
      <c r="F44" s="2" t="s">
        <v>255</v>
      </c>
      <c r="G44" s="2" t="s">
        <v>260</v>
      </c>
      <c r="H44" s="2" t="s">
        <v>12</v>
      </c>
      <c r="I44" s="2" t="s">
        <v>261</v>
      </c>
      <c r="J44" s="2" t="s">
        <v>18</v>
      </c>
    </row>
    <row r="45" customFormat="false" ht="15" hidden="false" customHeight="false" outlineLevel="0" collapsed="false">
      <c r="A45" s="2" t="s">
        <v>262</v>
      </c>
      <c r="B45" s="2" t="s">
        <v>246</v>
      </c>
      <c r="C45" s="2" t="s">
        <v>253</v>
      </c>
      <c r="D45" s="2" t="s">
        <v>22</v>
      </c>
      <c r="E45" s="2" t="s">
        <v>263</v>
      </c>
      <c r="F45" s="2" t="s">
        <v>255</v>
      </c>
      <c r="G45" s="2" t="s">
        <v>264</v>
      </c>
      <c r="H45" s="2" t="s">
        <v>12</v>
      </c>
      <c r="I45" s="2" t="s">
        <v>265</v>
      </c>
      <c r="J45" s="2" t="s">
        <v>18</v>
      </c>
    </row>
    <row r="46" customFormat="false" ht="23.85" hidden="false" customHeight="false" outlineLevel="0" collapsed="false">
      <c r="A46" s="2" t="s">
        <v>266</v>
      </c>
      <c r="B46" s="2" t="s">
        <v>246</v>
      </c>
      <c r="C46" s="2" t="s">
        <v>267</v>
      </c>
      <c r="D46" s="2" t="s">
        <v>70</v>
      </c>
      <c r="E46" s="2" t="s">
        <v>268</v>
      </c>
      <c r="F46" s="2" t="s">
        <v>269</v>
      </c>
      <c r="G46" s="2" t="s">
        <v>270</v>
      </c>
      <c r="H46" s="2" t="s">
        <v>12</v>
      </c>
      <c r="I46" s="2" t="s">
        <v>271</v>
      </c>
      <c r="J46" s="2" t="s">
        <v>18</v>
      </c>
    </row>
    <row r="47" customFormat="false" ht="15" hidden="false" customHeight="false" outlineLevel="0" collapsed="false">
      <c r="A47" s="2" t="s">
        <v>272</v>
      </c>
      <c r="B47" s="2" t="s">
        <v>246</v>
      </c>
      <c r="C47" s="2" t="s">
        <v>273</v>
      </c>
      <c r="D47" s="2" t="s">
        <v>274</v>
      </c>
      <c r="E47" s="2" t="s">
        <v>275</v>
      </c>
      <c r="F47" s="2" t="s">
        <v>276</v>
      </c>
      <c r="G47" s="2" t="s">
        <v>277</v>
      </c>
      <c r="H47" s="2" t="s">
        <v>12</v>
      </c>
      <c r="I47" s="2" t="s">
        <v>278</v>
      </c>
      <c r="J47" s="2" t="s">
        <v>18</v>
      </c>
    </row>
    <row r="48" customFormat="false" ht="23.85" hidden="false" customHeight="false" outlineLevel="0" collapsed="false">
      <c r="A48" s="2" t="s">
        <v>279</v>
      </c>
      <c r="B48" s="2" t="s">
        <v>246</v>
      </c>
      <c r="C48" s="2" t="s">
        <v>280</v>
      </c>
      <c r="D48" s="2" t="s">
        <v>281</v>
      </c>
      <c r="E48" s="2" t="s">
        <v>282</v>
      </c>
      <c r="F48" s="2" t="s">
        <v>283</v>
      </c>
      <c r="G48" s="2" t="s">
        <v>284</v>
      </c>
      <c r="H48" s="2" t="s">
        <v>12</v>
      </c>
      <c r="I48" s="2" t="s">
        <v>285</v>
      </c>
      <c r="J48" s="2" t="s">
        <v>18</v>
      </c>
    </row>
    <row r="49" customFormat="false" ht="23.85" hidden="false" customHeight="false" outlineLevel="0" collapsed="false">
      <c r="A49" s="2" t="s">
        <v>286</v>
      </c>
      <c r="B49" s="2" t="s">
        <v>246</v>
      </c>
      <c r="C49" s="2" t="s">
        <v>287</v>
      </c>
      <c r="D49" s="2" t="s">
        <v>281</v>
      </c>
      <c r="E49" s="2" t="s">
        <v>288</v>
      </c>
      <c r="F49" s="2" t="s">
        <v>283</v>
      </c>
      <c r="G49" s="2" t="s">
        <v>289</v>
      </c>
      <c r="H49" s="2" t="s">
        <v>12</v>
      </c>
      <c r="I49" s="2" t="s">
        <v>290</v>
      </c>
      <c r="J49" s="2" t="s">
        <v>18</v>
      </c>
    </row>
    <row r="50" customFormat="false" ht="23.85" hidden="false" customHeight="false" outlineLevel="0" collapsed="false">
      <c r="A50" s="2" t="s">
        <v>291</v>
      </c>
      <c r="B50" s="2" t="s">
        <v>246</v>
      </c>
      <c r="C50" s="2" t="s">
        <v>292</v>
      </c>
      <c r="D50" s="2" t="s">
        <v>281</v>
      </c>
      <c r="E50" s="2" t="s">
        <v>293</v>
      </c>
      <c r="F50" s="2" t="s">
        <v>294</v>
      </c>
      <c r="G50" s="2" t="s">
        <v>295</v>
      </c>
      <c r="H50" s="2" t="s">
        <v>12</v>
      </c>
      <c r="I50" s="2" t="s">
        <v>296</v>
      </c>
      <c r="J50" s="2" t="s">
        <v>18</v>
      </c>
    </row>
  </sheetData>
  <autoFilter ref="A1:J50"/>
  <dataValidations count="1">
    <dataValidation allowBlank="false" errorStyle="stop" operator="between" showDropDown="false" showErrorMessage="false" showInputMessage="false" sqref="J2:J50" type="list">
      <formula1>"Pass,Fail,Not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6" min="2" style="0" width="30"/>
  </cols>
  <sheetData>
    <row r="1" customFormat="false" ht="15" hidden="false" customHeight="false" outlineLevel="0" collapsed="false">
      <c r="A1" s="1" t="s">
        <v>297</v>
      </c>
      <c r="B1" s="1" t="s">
        <v>298</v>
      </c>
      <c r="C1" s="1" t="s">
        <v>299</v>
      </c>
      <c r="D1" s="1" t="s">
        <v>300</v>
      </c>
      <c r="E1" s="1" t="s">
        <v>301</v>
      </c>
      <c r="F1" s="1" t="s">
        <v>302</v>
      </c>
    </row>
    <row r="2" customFormat="false" ht="15" hidden="false" customHeight="false" outlineLevel="0" collapsed="false">
      <c r="A2" s="3" t="s">
        <v>21</v>
      </c>
      <c r="B2" s="3" t="s">
        <v>303</v>
      </c>
      <c r="C2" s="3" t="s">
        <v>304</v>
      </c>
      <c r="D2" s="3" t="s">
        <v>305</v>
      </c>
      <c r="E2" s="3" t="s">
        <v>306</v>
      </c>
      <c r="F2" s="3"/>
    </row>
    <row r="3" customFormat="false" ht="15" hidden="false" customHeight="false" outlineLevel="0" collapsed="false">
      <c r="A3" s="3" t="s">
        <v>29</v>
      </c>
      <c r="B3" s="3" t="s">
        <v>307</v>
      </c>
      <c r="C3" s="3" t="s">
        <v>304</v>
      </c>
      <c r="D3" s="3" t="s">
        <v>305</v>
      </c>
      <c r="E3" s="3" t="s">
        <v>308</v>
      </c>
      <c r="F3" s="3" t="s">
        <v>32</v>
      </c>
    </row>
    <row r="4" customFormat="false" ht="15" hidden="false" customHeight="false" outlineLevel="0" collapsed="false">
      <c r="A4" s="3" t="s">
        <v>35</v>
      </c>
      <c r="B4" s="3" t="s">
        <v>309</v>
      </c>
      <c r="C4" s="3" t="s">
        <v>304</v>
      </c>
      <c r="D4" s="3" t="s">
        <v>305</v>
      </c>
      <c r="E4" s="3" t="s">
        <v>308</v>
      </c>
      <c r="F4" s="3" t="s">
        <v>38</v>
      </c>
    </row>
    <row r="5" customFormat="false" ht="15" hidden="false" customHeight="false" outlineLevel="0" collapsed="false">
      <c r="A5" s="3" t="s">
        <v>41</v>
      </c>
      <c r="B5" s="3" t="s">
        <v>310</v>
      </c>
      <c r="C5" s="3" t="s">
        <v>304</v>
      </c>
      <c r="D5" s="3" t="s">
        <v>305</v>
      </c>
      <c r="E5" s="3" t="s">
        <v>308</v>
      </c>
      <c r="F5" s="3" t="s">
        <v>44</v>
      </c>
    </row>
    <row r="6" customFormat="false" ht="15" hidden="false" customHeight="false" outlineLevel="0" collapsed="false">
      <c r="A6" s="3" t="s">
        <v>311</v>
      </c>
      <c r="B6" s="3" t="s">
        <v>303</v>
      </c>
      <c r="C6" s="3" t="s">
        <v>312</v>
      </c>
      <c r="D6" s="3" t="s">
        <v>305</v>
      </c>
      <c r="E6" s="3" t="s">
        <v>308</v>
      </c>
      <c r="F6" s="3"/>
    </row>
    <row r="7" customFormat="false" ht="15" hidden="false" customHeight="false" outlineLevel="0" collapsed="false">
      <c r="A7" s="3" t="s">
        <v>313</v>
      </c>
      <c r="B7" s="3" t="s">
        <v>303</v>
      </c>
      <c r="C7" s="3" t="s">
        <v>314</v>
      </c>
      <c r="D7" s="3" t="s">
        <v>305</v>
      </c>
      <c r="E7" s="3" t="s">
        <v>308</v>
      </c>
      <c r="F7" s="3"/>
    </row>
    <row r="8" customFormat="false" ht="15" hidden="false" customHeight="false" outlineLevel="0" collapsed="false">
      <c r="A8" s="3" t="s">
        <v>57</v>
      </c>
      <c r="B8" s="3" t="s">
        <v>303</v>
      </c>
      <c r="C8" s="3" t="s">
        <v>315</v>
      </c>
      <c r="D8" s="3" t="s">
        <v>305</v>
      </c>
      <c r="E8" s="3" t="s">
        <v>308</v>
      </c>
      <c r="F8" s="3" t="s">
        <v>60</v>
      </c>
    </row>
    <row r="9" customFormat="false" ht="15" hidden="false" customHeight="false" outlineLevel="0" collapsed="false">
      <c r="A9" s="3" t="s">
        <v>63</v>
      </c>
      <c r="B9" s="3" t="s">
        <v>303</v>
      </c>
      <c r="C9" s="3" t="s">
        <v>304</v>
      </c>
      <c r="D9" s="3" t="s">
        <v>307</v>
      </c>
      <c r="E9" s="3" t="s">
        <v>308</v>
      </c>
      <c r="F9" s="3" t="s">
        <v>66</v>
      </c>
    </row>
    <row r="10" customFormat="false" ht="15" hidden="false" customHeight="false" outlineLevel="0" collapsed="false">
      <c r="A10" s="3" t="s">
        <v>69</v>
      </c>
      <c r="B10" s="3"/>
      <c r="C10" s="3" t="s">
        <v>304</v>
      </c>
      <c r="D10" s="3" t="s">
        <v>305</v>
      </c>
      <c r="E10" s="3" t="s">
        <v>308</v>
      </c>
      <c r="F10" s="3"/>
    </row>
    <row r="11" customFormat="false" ht="15" hidden="false" customHeight="false" outlineLevel="0" collapsed="false">
      <c r="A11" s="3" t="s">
        <v>76</v>
      </c>
      <c r="B11" s="3" t="s">
        <v>316</v>
      </c>
      <c r="C11" s="3" t="s">
        <v>304</v>
      </c>
      <c r="D11" s="3" t="s">
        <v>305</v>
      </c>
      <c r="E11" s="3" t="s">
        <v>306</v>
      </c>
      <c r="F11" s="3"/>
    </row>
    <row r="12" customFormat="false" ht="15" hidden="false" customHeight="false" outlineLevel="0" collapsed="false">
      <c r="A12" s="3" t="s">
        <v>82</v>
      </c>
      <c r="B12" s="3" t="s">
        <v>317</v>
      </c>
      <c r="C12" s="3" t="s">
        <v>304</v>
      </c>
      <c r="D12" s="3" t="s">
        <v>305</v>
      </c>
      <c r="E12" s="3" t="s">
        <v>306</v>
      </c>
      <c r="F12" s="3"/>
    </row>
    <row r="13" customFormat="false" ht="15" hidden="false" customHeight="false" outlineLevel="0" collapsed="false">
      <c r="A13" s="3" t="s">
        <v>87</v>
      </c>
      <c r="B13" s="3" t="s">
        <v>303</v>
      </c>
      <c r="C13" s="3" t="s">
        <v>304</v>
      </c>
      <c r="D13" s="3"/>
      <c r="E13" s="3" t="s">
        <v>308</v>
      </c>
      <c r="F13" s="3"/>
    </row>
    <row r="14" customFormat="false" ht="15" hidden="false" customHeight="false" outlineLevel="0" collapsed="false">
      <c r="A14" s="3" t="s">
        <v>92</v>
      </c>
      <c r="B14" s="3" t="s">
        <v>303</v>
      </c>
      <c r="C14" s="3" t="s">
        <v>304</v>
      </c>
      <c r="D14" s="3" t="s">
        <v>318</v>
      </c>
      <c r="E14" s="3" t="s">
        <v>306</v>
      </c>
      <c r="F14" s="3"/>
    </row>
    <row r="15" customFormat="false" ht="15" hidden="false" customHeight="false" outlineLevel="0" collapsed="false">
      <c r="A15" s="3" t="s">
        <v>97</v>
      </c>
      <c r="B15" s="3" t="s">
        <v>303</v>
      </c>
      <c r="C15" s="3" t="s">
        <v>304</v>
      </c>
      <c r="D15" s="3" t="s">
        <v>319</v>
      </c>
      <c r="E15" s="3" t="s">
        <v>306</v>
      </c>
      <c r="F15" s="3"/>
    </row>
    <row r="16" customFormat="false" ht="15" hidden="false" customHeight="false" outlineLevel="0" collapsed="false">
      <c r="A16" s="3" t="s">
        <v>102</v>
      </c>
      <c r="B16" s="3" t="s">
        <v>303</v>
      </c>
      <c r="C16" s="3" t="s">
        <v>304</v>
      </c>
      <c r="D16" s="3" t="s">
        <v>320</v>
      </c>
      <c r="E16" s="3" t="s">
        <v>306</v>
      </c>
      <c r="F16" s="3"/>
    </row>
    <row r="17" customFormat="false" ht="15" hidden="false" customHeight="false" outlineLevel="0" collapsed="false">
      <c r="A17" s="3" t="s">
        <v>107</v>
      </c>
      <c r="B17" s="3" t="s">
        <v>303</v>
      </c>
      <c r="C17" s="3" t="s">
        <v>304</v>
      </c>
      <c r="D17" s="3" t="s">
        <v>321</v>
      </c>
      <c r="E17" s="3" t="s">
        <v>308</v>
      </c>
      <c r="F17" s="3" t="s">
        <v>110</v>
      </c>
    </row>
    <row r="18" customFormat="false" ht="15" hidden="false" customHeight="false" outlineLevel="0" collapsed="false">
      <c r="A18" s="3" t="s">
        <v>113</v>
      </c>
      <c r="B18" s="3" t="s">
        <v>309</v>
      </c>
      <c r="C18" s="3" t="s">
        <v>304</v>
      </c>
      <c r="D18" s="3" t="s">
        <v>321</v>
      </c>
      <c r="E18" s="3" t="s">
        <v>308</v>
      </c>
      <c r="F18" s="3" t="s">
        <v>322</v>
      </c>
    </row>
    <row r="19" customFormat="false" ht="15" hidden="false" customHeight="false" outlineLevel="0" collapsed="false">
      <c r="A19" s="3" t="s">
        <v>120</v>
      </c>
      <c r="B19" s="3" t="s">
        <v>303</v>
      </c>
      <c r="C19" s="3" t="s">
        <v>315</v>
      </c>
      <c r="D19" s="3" t="s">
        <v>321</v>
      </c>
      <c r="E19" s="3" t="s">
        <v>308</v>
      </c>
      <c r="F19" s="3" t="s">
        <v>323</v>
      </c>
    </row>
    <row r="20" customFormat="false" ht="15" hidden="false" customHeight="false" outlineLevel="0" collapsed="false">
      <c r="A20" s="3" t="s">
        <v>126</v>
      </c>
      <c r="B20" s="3" t="s">
        <v>309</v>
      </c>
      <c r="C20" s="3" t="s">
        <v>315</v>
      </c>
      <c r="D20" s="3" t="s">
        <v>321</v>
      </c>
      <c r="E20" s="3" t="s">
        <v>308</v>
      </c>
      <c r="F20" s="3" t="s">
        <v>324</v>
      </c>
    </row>
    <row r="21" customFormat="false" ht="15" hidden="false" customHeight="false" outlineLevel="0" collapsed="false">
      <c r="A21" s="3" t="s">
        <v>132</v>
      </c>
      <c r="B21" s="3" t="s">
        <v>325</v>
      </c>
      <c r="C21" s="3" t="s">
        <v>304</v>
      </c>
      <c r="D21" s="3" t="s">
        <v>305</v>
      </c>
      <c r="E21" s="3" t="s">
        <v>306</v>
      </c>
      <c r="F21" s="3"/>
    </row>
    <row r="22" customFormat="false" ht="15" hidden="false" customHeight="false" outlineLevel="0" collapsed="false">
      <c r="A22" s="3" t="s">
        <v>138</v>
      </c>
      <c r="B22" s="3" t="s">
        <v>303</v>
      </c>
      <c r="C22" s="3" t="s">
        <v>326</v>
      </c>
      <c r="D22" s="3" t="s">
        <v>305</v>
      </c>
      <c r="E22" s="3" t="s">
        <v>308</v>
      </c>
      <c r="F22" s="3" t="s">
        <v>60</v>
      </c>
    </row>
    <row r="24" customFormat="false" ht="15" hidden="false" customHeight="false" outlineLevel="0" collapsed="false">
      <c r="A24" s="4" t="s">
        <v>327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5" min="2" style="0" width="30"/>
  </cols>
  <sheetData>
    <row r="1" customFormat="false" ht="15" hidden="false" customHeight="false" outlineLevel="0" collapsed="false">
      <c r="A1" s="1" t="s">
        <v>297</v>
      </c>
      <c r="B1" s="1" t="s">
        <v>298</v>
      </c>
      <c r="C1" s="1" t="s">
        <v>300</v>
      </c>
      <c r="D1" s="1" t="s">
        <v>301</v>
      </c>
      <c r="E1" s="1" t="s">
        <v>328</v>
      </c>
    </row>
    <row r="2" customFormat="false" ht="15" hidden="false" customHeight="false" outlineLevel="0" collapsed="false">
      <c r="A2" s="3" t="s">
        <v>143</v>
      </c>
      <c r="B2" s="3" t="s">
        <v>329</v>
      </c>
      <c r="C2" s="3" t="s">
        <v>330</v>
      </c>
      <c r="D2" s="3" t="s">
        <v>331</v>
      </c>
      <c r="E2" s="3"/>
    </row>
    <row r="3" customFormat="false" ht="15" hidden="false" customHeight="false" outlineLevel="0" collapsed="false">
      <c r="A3" s="3" t="s">
        <v>150</v>
      </c>
      <c r="B3" s="3" t="s">
        <v>332</v>
      </c>
      <c r="C3" s="3" t="s">
        <v>330</v>
      </c>
      <c r="D3" s="3" t="s">
        <v>331</v>
      </c>
      <c r="E3" s="3"/>
    </row>
    <row r="4" customFormat="false" ht="15" hidden="false" customHeight="false" outlineLevel="0" collapsed="false">
      <c r="A4" s="3" t="s">
        <v>155</v>
      </c>
      <c r="B4" s="3" t="s">
        <v>329</v>
      </c>
      <c r="C4" s="3" t="s">
        <v>333</v>
      </c>
      <c r="D4" s="3" t="s">
        <v>308</v>
      </c>
      <c r="E4" s="3" t="s">
        <v>158</v>
      </c>
    </row>
    <row r="5" customFormat="false" ht="15" hidden="false" customHeight="false" outlineLevel="0" collapsed="false">
      <c r="A5" s="3" t="s">
        <v>161</v>
      </c>
      <c r="B5" s="3" t="s">
        <v>334</v>
      </c>
      <c r="C5" s="3" t="s">
        <v>330</v>
      </c>
      <c r="D5" s="3" t="s">
        <v>308</v>
      </c>
      <c r="E5" s="3" t="s">
        <v>158</v>
      </c>
    </row>
    <row r="6" customFormat="false" ht="15" hidden="false" customHeight="false" outlineLevel="0" collapsed="false">
      <c r="A6" s="3" t="s">
        <v>166</v>
      </c>
      <c r="B6" s="3"/>
      <c r="C6" s="3"/>
      <c r="D6" s="3" t="s">
        <v>308</v>
      </c>
      <c r="E6" s="3"/>
    </row>
    <row r="8" customFormat="false" ht="15" hidden="false" customHeight="false" outlineLevel="0" collapsed="false">
      <c r="A8" s="4" t="s">
        <v>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30"/>
  </cols>
  <sheetData>
    <row r="1" customFormat="false" ht="15" hidden="false" customHeight="false" outlineLevel="0" collapsed="false">
      <c r="A1" s="1" t="s">
        <v>297</v>
      </c>
      <c r="B1" s="1" t="s">
        <v>336</v>
      </c>
      <c r="C1" s="1" t="s">
        <v>328</v>
      </c>
    </row>
    <row r="2" customFormat="false" ht="15" hidden="false" customHeight="false" outlineLevel="0" collapsed="false">
      <c r="A2" s="3" t="s">
        <v>180</v>
      </c>
      <c r="B2" s="3" t="s">
        <v>182</v>
      </c>
      <c r="C2" s="3" t="s">
        <v>183</v>
      </c>
    </row>
    <row r="3" customFormat="false" ht="15" hidden="false" customHeight="false" outlineLevel="0" collapsed="false">
      <c r="A3" s="3" t="s">
        <v>187</v>
      </c>
      <c r="B3" s="3" t="s">
        <v>189</v>
      </c>
      <c r="C3" s="3" t="s">
        <v>190</v>
      </c>
    </row>
    <row r="4" customFormat="false" ht="15" hidden="false" customHeight="false" outlineLevel="0" collapsed="false">
      <c r="A4" s="3" t="s">
        <v>193</v>
      </c>
      <c r="B4" s="3" t="s">
        <v>195</v>
      </c>
      <c r="C4" s="3" t="s">
        <v>190</v>
      </c>
    </row>
    <row r="5" customFormat="false" ht="15" hidden="false" customHeight="false" outlineLevel="0" collapsed="false">
      <c r="A5" s="3" t="s">
        <v>198</v>
      </c>
      <c r="B5" s="3" t="s">
        <v>200</v>
      </c>
      <c r="C5" s="3" t="s">
        <v>190</v>
      </c>
    </row>
    <row r="6" customFormat="false" ht="15" hidden="false" customHeight="false" outlineLevel="0" collapsed="false">
      <c r="A6" s="3" t="s">
        <v>203</v>
      </c>
      <c r="B6" s="3" t="s">
        <v>205</v>
      </c>
      <c r="C6" s="3" t="s">
        <v>190</v>
      </c>
    </row>
    <row r="7" customFormat="false" ht="15" hidden="false" customHeight="false" outlineLevel="0" collapsed="false">
      <c r="A7" s="3" t="s">
        <v>208</v>
      </c>
      <c r="B7" s="3" t="s">
        <v>337</v>
      </c>
      <c r="C7" s="3" t="s">
        <v>183</v>
      </c>
    </row>
    <row r="8" customFormat="false" ht="15" hidden="false" customHeight="false" outlineLevel="0" collapsed="false">
      <c r="A8" s="3" t="s">
        <v>213</v>
      </c>
      <c r="B8" s="3"/>
      <c r="C8" s="3" t="s">
        <v>190</v>
      </c>
    </row>
    <row r="9" customFormat="false" ht="15" hidden="false" customHeight="false" outlineLevel="0" collapsed="false">
      <c r="A9" s="3" t="s">
        <v>218</v>
      </c>
      <c r="B9" s="3" t="s">
        <v>220</v>
      </c>
      <c r="C9" s="3" t="s">
        <v>190</v>
      </c>
    </row>
    <row r="10" customFormat="false" ht="15" hidden="false" customHeight="false" outlineLevel="0" collapsed="false">
      <c r="A10" s="3" t="s">
        <v>223</v>
      </c>
      <c r="B10" s="3" t="s">
        <v>338</v>
      </c>
      <c r="C10" s="3" t="s">
        <v>190</v>
      </c>
    </row>
    <row r="12" customFormat="false" ht="15" hidden="false" customHeight="false" outlineLevel="0" collapsed="false">
      <c r="A12" s="4" t="s">
        <v>339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5" t="s">
        <v>340</v>
      </c>
    </row>
    <row r="3" customFormat="false" ht="15" hidden="false" customHeight="false" outlineLevel="0" collapsed="false">
      <c r="A3" s="1" t="s">
        <v>1</v>
      </c>
      <c r="B3" s="1" t="s">
        <v>341</v>
      </c>
      <c r="C3" s="1" t="s">
        <v>18</v>
      </c>
      <c r="D3" s="1" t="s">
        <v>342</v>
      </c>
      <c r="E3" s="1" t="s">
        <v>343</v>
      </c>
      <c r="F3" s="1" t="s">
        <v>344</v>
      </c>
    </row>
    <row r="4" customFormat="false" ht="15" hidden="false" customHeight="false" outlineLevel="0" collapsed="false">
      <c r="A4" s="6" t="s">
        <v>11</v>
      </c>
      <c r="B4" s="6" t="n">
        <f aca="false">COUNTIF('Test Cases'!$B$2:$B$50,A4)</f>
        <v>1</v>
      </c>
      <c r="C4" s="6" t="n">
        <f aca="false">COUNTIFS('Test Cases'!$B$2:$B$50,A4,'Test Cases'!$J$2:$J$50,"Pass")</f>
        <v>1</v>
      </c>
      <c r="D4" s="6" t="n">
        <f aca="false">COUNTIFS('Test Cases'!$B$2:$B$50,A4,'Test Cases'!$J$2:$J$50,"Fail")</f>
        <v>0</v>
      </c>
      <c r="E4" s="6" t="n">
        <f aca="false">COUNTIFS('Test Cases'!$B$2:$B$50,A4,'Test Cases'!$J$2:$J$50,"Not Run")</f>
        <v>0</v>
      </c>
      <c r="F4" s="7" t="n">
        <f aca="false">IF(B4=0,0,C4/B4)</f>
        <v>1</v>
      </c>
    </row>
    <row r="5" customFormat="false" ht="15" hidden="false" customHeight="false" outlineLevel="0" collapsed="false">
      <c r="A5" s="6" t="s">
        <v>20</v>
      </c>
      <c r="B5" s="6" t="n">
        <f aca="false">COUNTIF('Test Cases'!$B$2:$B$50,A5)</f>
        <v>27</v>
      </c>
      <c r="C5" s="6" t="n">
        <f aca="false">COUNTIFS('Test Cases'!$B$2:$B$50,A5,'Test Cases'!$J$2:$J$50,"Pass")</f>
        <v>27</v>
      </c>
      <c r="D5" s="6" t="n">
        <f aca="false">COUNTIFS('Test Cases'!$B$2:$B$50,A5,'Test Cases'!$J$2:$J$50,"Fail")</f>
        <v>0</v>
      </c>
      <c r="E5" s="6" t="n">
        <f aca="false">COUNTIFS('Test Cases'!$B$2:$B$50,A5,'Test Cases'!$J$2:$J$50,"Not Run")</f>
        <v>0</v>
      </c>
      <c r="F5" s="7" t="n">
        <f aca="false">IF(B5=0,0,C5/B5)</f>
        <v>1</v>
      </c>
    </row>
    <row r="6" customFormat="false" ht="15" hidden="false" customHeight="false" outlineLevel="0" collapsed="false">
      <c r="A6" s="6" t="s">
        <v>179</v>
      </c>
      <c r="B6" s="6" t="n">
        <f aca="false">COUNTIF('Test Cases'!$B$2:$B$50,A6)</f>
        <v>12</v>
      </c>
      <c r="C6" s="6" t="n">
        <f aca="false">COUNTIFS('Test Cases'!$B$2:$B$50,A6,'Test Cases'!$J$2:$J$50,"Pass")</f>
        <v>12</v>
      </c>
      <c r="D6" s="6" t="n">
        <f aca="false">COUNTIFS('Test Cases'!$B$2:$B$50,A6,'Test Cases'!$J$2:$J$50,"Fail")</f>
        <v>0</v>
      </c>
      <c r="E6" s="6" t="n">
        <f aca="false">COUNTIFS('Test Cases'!$B$2:$B$50,A6,'Test Cases'!$J$2:$J$50,"Not Run")</f>
        <v>0</v>
      </c>
      <c r="F6" s="7" t="n">
        <f aca="false">IF(B6=0,0,C6/B6)</f>
        <v>1</v>
      </c>
    </row>
    <row r="7" customFormat="false" ht="15" hidden="false" customHeight="false" outlineLevel="0" collapsed="false">
      <c r="A7" s="6" t="s">
        <v>246</v>
      </c>
      <c r="B7" s="6" t="n">
        <f aca="false">COUNTIF('Test Cases'!$B$2:$B$50,A7)</f>
        <v>9</v>
      </c>
      <c r="C7" s="6" t="n">
        <f aca="false">COUNTIFS('Test Cases'!$B$2:$B$50,A7,'Test Cases'!$J$2:$J$50,"Pass")</f>
        <v>9</v>
      </c>
      <c r="D7" s="6" t="n">
        <f aca="false">COUNTIFS('Test Cases'!$B$2:$B$50,A7,'Test Cases'!$J$2:$J$50,"Fail")</f>
        <v>0</v>
      </c>
      <c r="E7" s="6" t="n">
        <f aca="false">COUNTIFS('Test Cases'!$B$2:$B$50,A7,'Test Cases'!$J$2:$J$50,"Not Run")</f>
        <v>0</v>
      </c>
      <c r="F7" s="7" t="n">
        <f aca="false">IF(B7=0,0,C7/B7)</f>
        <v>1</v>
      </c>
    </row>
    <row r="8" customFormat="false" ht="15" hidden="false" customHeight="false" outlineLevel="0" collapsed="false">
      <c r="A8" s="8" t="s">
        <v>341</v>
      </c>
      <c r="B8" s="8" t="n">
        <f aca="false">SUM(B4:B7)</f>
        <v>49</v>
      </c>
      <c r="C8" s="8" t="n">
        <f aca="false">SUM(C4:C7)</f>
        <v>49</v>
      </c>
      <c r="D8" s="8" t="n">
        <f aca="false">SUM(D4:D7)</f>
        <v>0</v>
      </c>
      <c r="E8" s="8" t="n">
        <f aca="false">SUM(E4:E7)</f>
        <v>0</v>
      </c>
      <c r="F8" s="9" t="n">
        <f aca="false">IF(B8=0,0,C8/B8)</f>
        <v>1</v>
      </c>
    </row>
    <row r="10" customFormat="false" ht="15" hidden="false" customHeight="false" outlineLevel="0" collapsed="false">
      <c r="A10" s="10" t="s">
        <v>345</v>
      </c>
    </row>
    <row r="11" customFormat="false" ht="15" hidden="false" customHeight="false" outlineLevel="0" collapsed="false">
      <c r="A11" s="11" t="s">
        <v>346</v>
      </c>
    </row>
    <row r="12" customFormat="false" ht="15" hidden="false" customHeight="false" outlineLevel="0" collapsed="false">
      <c r="A12" s="11" t="s">
        <v>347</v>
      </c>
    </row>
    <row r="13" customFormat="false" ht="15" hidden="false" customHeight="false" outlineLevel="0" collapsed="false">
      <c r="A13" s="11" t="s">
        <v>348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2026-10-18T04:23:36Z</dcterms:created>
  <dc:creator>openpyxl</dc:creator>
  <dc:description/>
  <dc:language>en-US</dc:language>
  <cp:lastModifiedBy/>
  <dcterms:modified xsi:type="dcterms:W3CDTF">2026-10-18T04:23:36Z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